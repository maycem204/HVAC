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E5E8FA9-E716-4B57-B35E-CE68845DD740}" xr6:coauthVersionLast="47" xr6:coauthVersionMax="47" xr10:uidLastSave="{00000000-0000-0000-0000-000000000000}"/>
  <bookViews>
    <workbookView xWindow="0" yWindow="348" windowWidth="23040" windowHeight="9780" tabRatio="770" firstSheet="4" activeTab="2" xr2:uid="{00000000-000D-0000-FFFF-FFFF00000000}"/>
  </bookViews>
  <sheets>
    <sheet name="READ ME" sheetId="1" r:id="rId1"/>
    <sheet name="Types_Pannes_Installations" sheetId="2" r:id="rId2"/>
    <sheet name="Multiplicateurs_Urgence" sheetId="3" r:id="rId3"/>
    <sheet name="Multiplicateurs_Complexite" sheetId="4" r:id="rId4"/>
    <sheet name="Multiplicateurs_Saisonnier" sheetId="5" r:id="rId5"/>
    <sheet name="Donnees_Regionales_MENA" sheetId="6" r:id="rId6"/>
    <sheet name="Marge_Fixe" sheetId="7" r:id="rId7"/>
    <sheet name="Cout_Appareil" sheetId="8" r:id="rId8"/>
    <sheet name="Exemple_Calcul" sheetId="9" r:id="rId9"/>
    <sheet name="Verification_Exemples" sheetId="10" r:id="rId10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8" i="10" l="1"/>
  <c r="R8" i="10"/>
  <c r="O8" i="10"/>
  <c r="N8" i="10"/>
  <c r="M8" i="10"/>
  <c r="L8" i="10"/>
  <c r="K8" i="10"/>
  <c r="J8" i="10"/>
  <c r="I8" i="10"/>
  <c r="H8" i="10"/>
  <c r="Q8" i="10" s="1"/>
  <c r="G8" i="10"/>
  <c r="P8" i="10" s="1"/>
  <c r="S8" i="10" s="1"/>
  <c r="U8" i="10" s="1"/>
  <c r="C8" i="10"/>
  <c r="T7" i="10"/>
  <c r="O7" i="10"/>
  <c r="R7" i="10" s="1"/>
  <c r="N7" i="10"/>
  <c r="M7" i="10"/>
  <c r="L7" i="10"/>
  <c r="K7" i="10"/>
  <c r="J7" i="10"/>
  <c r="I7" i="10"/>
  <c r="H7" i="10"/>
  <c r="Q7" i="10" s="1"/>
  <c r="G7" i="10"/>
  <c r="P7" i="10" s="1"/>
  <c r="C7" i="10"/>
  <c r="T6" i="10"/>
  <c r="R6" i="10"/>
  <c r="O6" i="10"/>
  <c r="N6" i="10"/>
  <c r="M6" i="10"/>
  <c r="L6" i="10"/>
  <c r="K6" i="10"/>
  <c r="J6" i="10"/>
  <c r="I6" i="10"/>
  <c r="H6" i="10"/>
  <c r="Q6" i="10" s="1"/>
  <c r="G6" i="10"/>
  <c r="P6" i="10" s="1"/>
  <c r="S6" i="10" s="1"/>
  <c r="U6" i="10" s="1"/>
  <c r="C6" i="10"/>
  <c r="T5" i="10"/>
  <c r="P5" i="10"/>
  <c r="O5" i="10"/>
  <c r="R5" i="10" s="1"/>
  <c r="N5" i="10"/>
  <c r="Q5" i="10" s="1"/>
  <c r="M5" i="10"/>
  <c r="L5" i="10"/>
  <c r="K5" i="10"/>
  <c r="J5" i="10"/>
  <c r="I5" i="10"/>
  <c r="H5" i="10"/>
  <c r="G5" i="10"/>
  <c r="C5" i="10"/>
  <c r="D39" i="9"/>
  <c r="C31" i="9"/>
  <c r="C37" i="9" s="1"/>
  <c r="C30" i="9"/>
  <c r="C36" i="9" s="1"/>
  <c r="C29" i="9"/>
  <c r="C28" i="9"/>
  <c r="C27" i="9"/>
  <c r="C26" i="9"/>
  <c r="C25" i="9"/>
  <c r="C24" i="9"/>
  <c r="C23" i="9"/>
  <c r="C22" i="9"/>
  <c r="C21" i="9"/>
  <c r="C35" i="9" s="1"/>
  <c r="C20" i="9"/>
  <c r="C33" i="9" s="1"/>
  <c r="C39" i="9" s="1"/>
  <c r="C40" i="9" s="1"/>
  <c r="C19" i="9"/>
  <c r="C18" i="9"/>
  <c r="S5" i="10" l="1"/>
  <c r="U5" i="10" s="1"/>
  <c r="S7" i="10"/>
  <c r="U7" i="10" s="1"/>
</calcChain>
</file>

<file path=xl/sharedStrings.xml><?xml version="1.0" encoding="utf-8"?>
<sst xmlns="http://schemas.openxmlformats.org/spreadsheetml/2006/main" count="1673" uniqueCount="857">
  <si>
    <t>Objectif :</t>
  </si>
  <si>
    <t>Ce classeur sert de base de données pour calculer un prix estimé (devis) de réparation ou</t>
  </si>
  <si>
    <t>d'installation HVAC (climatisation, chauffage, ventilation) dans les pays de la région MENA.</t>
  </si>
  <si>
    <t>Formule de calcul du prix final :</t>
  </si>
  <si>
    <t>prix_final = coût_base(pièces, converti en devise locale, SANS multiplicateur)</t>
  </si>
  <si>
    <t xml:space="preserve">             + (heures_estimées × taux_horaire_local × ajustement_régional × multiplicateur_urgence</t>
  </si>
  <si>
    <t xml:space="preserve">                × multiplicateur_complexité × multiplicateur_saisonnier)</t>
  </si>
  <si>
    <t xml:space="preserve">             + marge_fixe (convertie) + coût_appareil × facteur_importation (converti, = 0 si réparation)</t>
  </si>
  <si>
    <t>⚠️ Logique IMPORTANTE pour éviter un prix exagéré :</t>
  </si>
  <si>
    <t>⚠️ CORRECTION v3 (suite à audit) :</t>
  </si>
  <si>
    <t>Dans la v2, les multiplicateurs (urgence/complexité/saisonnier) étaient appliqués au COÛT DES PIÈCES en plus</t>
  </si>
  <si>
    <t>de la main d'œuvre. Or le coût d'une pièce importée (compresseur, carte électronique...) ne varie pas selon</t>
  </si>
  <si>
    <t>l'urgence ou la saison : seul le temps et la disponibilité du technicien (donc la main d'œuvre) justifient</t>
  </si>
  <si>
    <t>une majoration. Cette erreur faisait gonfler artificiellement le prix final de 30 à 70% selon les cas.</t>
  </si>
  <si>
    <t>Dans la v3, les multiplicateurs urgence/complexité/saisonnier s'appliquent UNIQUEMENT à la main d'œuvre.</t>
  </si>
  <si>
    <t>Le coût des pièces (cout_base_usd_pieces) est converti directement en devise locale au taux de change,</t>
  </si>
  <si>
    <t>sans multiplicateur, ce qui reflète son statut de coût d'importation quasi-fixe.</t>
  </si>
  <si>
    <t>Par ailleurs, quelques lignes ont été recalibrées (ex: CLR007 compresseur split, MNT162 entretien annuel)</t>
  </si>
  <si>
    <t>après vérification directe avec les fourchettes de prix publiées par SM-Devis.tn et ClimChaud.com.</t>
  </si>
  <si>
    <t>Voir la feuille 'Verification_Exemples' pour 4 cas testés (Tunisie + Maroc) comparés aux prix marché réels.</t>
  </si>
  <si>
    <t>réfrigérant, visserie, isolants, petit matériel...). La main d'œuvre est calculée séparément via</t>
  </si>
  <si>
    <t>(heures_estimées × taux_horaire_local), et le prix de l'appareil neuf (pour les installations) est</t>
  </si>
  <si>
    <t>calculé séparément via la feuille Cout_Appareil. Si l'on mettait un prix 'tout compris' dans coût_base</t>
  </si>
  <si>
    <t>ET qu'on ajoutait la main d'œuvre en plus, la main d'œuvre serait comptée deux fois et le prix final</t>
  </si>
  <si>
    <t>serait largement surévalué.</t>
  </si>
  <si>
    <t>Le matériel HVAC (compresseurs, cartes électroniques, gaz réfrigérant, appareils) est en grande partie</t>
  </si>
  <si>
    <t>importé partout dans la région MENA : son coût en devise locale reste donc proche d'un prix</t>
  </si>
  <si>
    <t>international converti au taux de change, avec une légère majoration d'importation par pays.</t>
  </si>
  <si>
    <t>En revanche, le coût de la main d'œuvre varie fortement d'un pays à l'autre : c'est pourquoi</t>
  </si>
  <si>
    <t>taux_horaire_local et ajustement_régional (appliqués UNIQUEMENT à la main d'œuvre) portent toute la</t>
  </si>
  <si>
    <t>différence de coût de vie entre la Tunisie, le Maroc, l'Égypte, les pays du Golfe, etc., et non le</t>
  </si>
  <si>
    <t>coût des pièces.</t>
  </si>
  <si>
    <t>Organisation du classeur :</t>
  </si>
  <si>
    <t>1. Lisez_moi              - ce guide</t>
  </si>
  <si>
    <t>2. Types_Pannes_Installations - 250 types de pannes/installations HVAC, coût des pièces (USD) et heures de main d'œuvre estimées</t>
  </si>
  <si>
    <t>3. Multiplicateurs_Urgence - facteurs selon le délai d'intervention demandé</t>
  </si>
  <si>
    <t>4. Multiplicateurs_Complexite - facteurs selon la complexité technique de l'intervention</t>
  </si>
  <si>
    <t>5. Multiplicateurs_Saisonnier - facteurs selon la période de l'année (haute/basse saison)</t>
  </si>
  <si>
    <t>6. Donnees_Regionales_MENA - devise, taux de change, taux horaire local, ajustement régional et facteur d'importation par pays</t>
  </si>
  <si>
    <t>7. Marge_Fixe              - marge fixe (déplacement, administratif, garantie) par type d'intervention</t>
  </si>
  <si>
    <t>8. Cout_Appareil           - coûts moyens des appareils HVAC neufs (pour les installations)</t>
  </si>
  <si>
    <t>9. Exemple_Calcul          - calculateur interactif complet utilisant la formule (changez les cellules bleues)</t>
  </si>
  <si>
    <t>10. Verification_Exemples    - 4 cas testés (Tunisie + Maroc) comparés aux prix marché réels (audit recalibration)</t>
  </si>
  <si>
    <t>Sources et méthode de calibration (données 2025-2026) :</t>
  </si>
  <si>
    <t>- Tunisie (référence de calibration principale, données vérifiées) : ProTunisie.com, ClimChaud.com,</t>
  </si>
  <si>
    <t xml:space="preserve">  SM-Devis.tn : pose standard split 70-150 DT, entretien annuel 40-60 DT, recharge gaz 100-300 DT,</t>
  </si>
  <si>
    <t xml:space="preserve">  carte électronique 100-450 DT, fuite de fluide frigorigène 300-1200 DT, remplacement complet</t>
  </si>
  <si>
    <t xml:space="preserve">  compresseur &gt;1500 DT, taux horaire diagnostic ~60-70 DT/h.</t>
  </si>
  <si>
    <t>- Maroc : ComptoirElectro.ma, Mano.ma : installation split standard 500-1500 MAD, entretien</t>
  </si>
  <si>
    <t xml:space="preserve">  chaudière 450-800 MAD (Casablanca), pièces de rechange chaudière 80-600 MAD.</t>
  </si>
  <si>
    <t>- Autres pays MENA : taux horaires et facteurs régionaux estimés par recoupement de grilles</t>
  </si>
  <si>
    <t xml:space="preserve">  tarifaires d'entreprises locales et d'indicateurs de coût de la vie/PIB par habitant (Banque</t>
  </si>
  <si>
    <t xml:space="preserve">  Mondiale) relatifs à la Tunisie utilisée comme base 1.0 sur l'indicateur ajustement_régional.</t>
  </si>
  <si>
    <t>- Coûts des appareils neufs : Tunisianet.tn, Spacenet.tn, Primini.tn (Tunisie) recoupés avec</t>
  </si>
  <si>
    <t xml:space="preserve">  Jumia.ma / Electroplanet.ma (Maroc) pour les fourchettes de prix par puissance (BTU/kW).</t>
  </si>
  <si>
    <t>Note importante :</t>
  </si>
  <si>
    <t>Tous les montants sont des MOYENNES DE MARCHÉ destinées à servir de base de calcul raisonnable et</t>
  </si>
  <si>
    <t>doivent être révisés périodiquement et ajustés selon vos propres données terrain (fournisseurs,</t>
  </si>
  <si>
    <t>main d'œuvre, fiscalité locale, variations de change).</t>
  </si>
  <si>
    <t>code</t>
  </si>
  <si>
    <t>categorie</t>
  </si>
  <si>
    <t>sous_categorie</t>
  </si>
  <si>
    <t>nom_intervention</t>
  </si>
  <si>
    <t>type_intervention</t>
  </si>
  <si>
    <t>cout_base_usd_pieces</t>
  </si>
  <si>
    <t>heures_estimees</t>
  </si>
  <si>
    <t>notes</t>
  </si>
  <si>
    <t>CLR001</t>
  </si>
  <si>
    <t>Climatisation</t>
  </si>
  <si>
    <t>Réparation Split/Central/Fenêtre</t>
  </si>
  <si>
    <t>Climatiseur ne démarre pas - diagnostic électrique</t>
  </si>
  <si>
    <t>Reparation</t>
  </si>
  <si>
    <t>CLR002</t>
  </si>
  <si>
    <t>Remplacement condensateur de démarrage (run capacitor)</t>
  </si>
  <si>
    <t>CLR003</t>
  </si>
  <si>
    <t>Remplacement relais de démarrage (start relay)</t>
  </si>
  <si>
    <t>CLR004</t>
  </si>
  <si>
    <t>Recharge gaz réfrigérant R410A (par kg)</t>
  </si>
  <si>
    <t>CLR005</t>
  </si>
  <si>
    <t>Recharge gaz réfrigérant R22 (par kg, obsolète)</t>
  </si>
  <si>
    <t>CLR006</t>
  </si>
  <si>
    <t>Réparation fuite de réfrigérant - localisation et soudure</t>
  </si>
  <si>
    <t>CLR007</t>
  </si>
  <si>
    <t>Remplacement compresseur climatiseur split</t>
  </si>
  <si>
    <t>Recalibré (2026) - voir Lisez_moi / Verification_Exemples - Source: SM-Devis.tn</t>
  </si>
  <si>
    <t>CLR008</t>
  </si>
  <si>
    <t>Remplacement compresseur climatiseur central</t>
  </si>
  <si>
    <t>CLR009</t>
  </si>
  <si>
    <t>Nettoyage évaporateur (unité intérieure)</t>
  </si>
  <si>
    <t>CLR010</t>
  </si>
  <si>
    <t>Nettoyage condenseur (unité extérieure)</t>
  </si>
  <si>
    <t>CLR011</t>
  </si>
  <si>
    <t>Remplacement filtre à air standard</t>
  </si>
  <si>
    <t>CLR012</t>
  </si>
  <si>
    <t>Remplacement filtre HEPA / haute efficacité</t>
  </si>
  <si>
    <t>CLR013</t>
  </si>
  <si>
    <t>Réparation ventilateur unité intérieure (moteur)</t>
  </si>
  <si>
    <t>CLR014</t>
  </si>
  <si>
    <t>Remplacement moteur ventilateur extérieur</t>
  </si>
  <si>
    <t>CLR015</t>
  </si>
  <si>
    <t>Réparation carte électronique (PCB) climatiseur</t>
  </si>
  <si>
    <t>CLR016</t>
  </si>
  <si>
    <t>Remplacement carte électronique complète</t>
  </si>
  <si>
    <t>CLR017</t>
  </si>
  <si>
    <t>Réparation télécommande / module de réception</t>
  </si>
  <si>
    <t>CLR018</t>
  </si>
  <si>
    <t>Débouchage tuyau d'évacuation des condensats</t>
  </si>
  <si>
    <t>CLR019</t>
  </si>
  <si>
    <t>Réparation pompe de relevage des condensats</t>
  </si>
  <si>
    <t>CLR020</t>
  </si>
  <si>
    <t>Remplacement pompe de relevage des condensats</t>
  </si>
  <si>
    <t>CLR021</t>
  </si>
  <si>
    <t>Réparation vanne d'expansion (détendeur)</t>
  </si>
  <si>
    <t>CLR022</t>
  </si>
  <si>
    <t>Remplacement vanne 4 voies (réversible)</t>
  </si>
  <si>
    <t>CLR023</t>
  </si>
  <si>
    <t>Réparation thermostat mécanique intégré</t>
  </si>
  <si>
    <t>CLR024</t>
  </si>
  <si>
    <t>Réinitialisation et reprogrammation système</t>
  </si>
  <si>
    <t>CLR025</t>
  </si>
  <si>
    <t>Réparation grille de soufflage / volets</t>
  </si>
  <si>
    <t>CLR026</t>
  </si>
  <si>
    <t>Remplacement bobine (coil) évaporateur</t>
  </si>
  <si>
    <t>CLR027</t>
  </si>
  <si>
    <t>Remplacement bobine (coil) condenseur</t>
  </si>
  <si>
    <t>CLR028</t>
  </si>
  <si>
    <t>Réparation câblage électrique endommagé</t>
  </si>
  <si>
    <t>CLR029</t>
  </si>
  <si>
    <t>Remplacement disjoncteur dédié climatiseur</t>
  </si>
  <si>
    <t>CLR030</t>
  </si>
  <si>
    <t>Réparation fuite d'eau / condensation excessive</t>
  </si>
  <si>
    <t>CLR031</t>
  </si>
  <si>
    <t>Diagnostic bruit anormal (vibrations, grincements)</t>
  </si>
  <si>
    <t>CLR032</t>
  </si>
  <si>
    <t>Remplacement amortisseurs anti-vibration</t>
  </si>
  <si>
    <t>CLR033</t>
  </si>
  <si>
    <t>Réparation isolation tuyauterie frigorifique</t>
  </si>
  <si>
    <t>CLR034</t>
  </si>
  <si>
    <t>Nettoyage en profondeur complet (split)</t>
  </si>
  <si>
    <t>CLR035</t>
  </si>
  <si>
    <t>Détartrage et désinfection système (anti-bactérien)</t>
  </si>
  <si>
    <t>CLR036</t>
  </si>
  <si>
    <t>Réparation climatiseur fenêtre - compresseur</t>
  </si>
  <si>
    <t>CLR037</t>
  </si>
  <si>
    <t>Réparation climatiseur fenêtre - ventilateur</t>
  </si>
  <si>
    <t>CLR038</t>
  </si>
  <si>
    <t>Réparation climatiseur portable</t>
  </si>
  <si>
    <t>CLR039</t>
  </si>
  <si>
    <t>Remplacement thermistance (capteur température)</t>
  </si>
  <si>
    <t>CLR040</t>
  </si>
  <si>
    <t>Réparation fuite au niveau des raccords flare</t>
  </si>
  <si>
    <t>CLR041</t>
  </si>
  <si>
    <t>Mise sous vide et test d'étanchéité circuit</t>
  </si>
  <si>
    <t>CLI042</t>
  </si>
  <si>
    <t>Installation</t>
  </si>
  <si>
    <t>Installation climatiseur split mural 9000 BTU</t>
  </si>
  <si>
    <t>CLI043</t>
  </si>
  <si>
    <t>Installation climatiseur split mural 12000 BTU</t>
  </si>
  <si>
    <t>CLI044</t>
  </si>
  <si>
    <t>Installation climatiseur split mural 18000 BTU</t>
  </si>
  <si>
    <t>CLI045</t>
  </si>
  <si>
    <t>Installation climatiseur split mural 24000 BTU</t>
  </si>
  <si>
    <t>CLI046</t>
  </si>
  <si>
    <t>Installation climatiseur multi-split (2 unités)</t>
  </si>
  <si>
    <t>CLI047</t>
  </si>
  <si>
    <t>Installation climatiseur multi-split (3 unités)</t>
  </si>
  <si>
    <t>CLI048</t>
  </si>
  <si>
    <t>Installation climatiseur multi-split (4 unités)</t>
  </si>
  <si>
    <t>CLI049</t>
  </si>
  <si>
    <t>Installation climatiseur gainable (ducted) résidentiel</t>
  </si>
  <si>
    <t>CLI050</t>
  </si>
  <si>
    <t>Installation climatiseur central - groupe + air handler</t>
  </si>
  <si>
    <t>CLI051</t>
  </si>
  <si>
    <t>Installation climatiseur cassette plafonnier</t>
  </si>
  <si>
    <t>CLI052</t>
  </si>
  <si>
    <t>Installation climatiseur fenêtre</t>
  </si>
  <si>
    <t>CLI053</t>
  </si>
  <si>
    <t>Installation climatiseur portable</t>
  </si>
  <si>
    <t>CLI054</t>
  </si>
  <si>
    <t>Installation système VRF/VRV commercial (par unité int.)</t>
  </si>
  <si>
    <t>CLI055</t>
  </si>
  <si>
    <t>Installation tuyauterie frigorifique supplémentaire (par mètre)</t>
  </si>
  <si>
    <t>CLI056</t>
  </si>
  <si>
    <t>Installation support mural unité extérieure</t>
  </si>
  <si>
    <t>CLI057</t>
  </si>
  <si>
    <t>Installation support sol/toit unité extérieure</t>
  </si>
  <si>
    <t>CLI058</t>
  </si>
  <si>
    <t>Installation ligne électrique dédiée climatiseur</t>
  </si>
  <si>
    <t>CLI059</t>
  </si>
  <si>
    <t>Installation disjoncteur et tableau dédié</t>
  </si>
  <si>
    <t>CLI060</t>
  </si>
  <si>
    <t>Installation système de drainage condensats</t>
  </si>
  <si>
    <t>CLI061</t>
  </si>
  <si>
    <t>Installation goulotte de protection tuyauterie</t>
  </si>
  <si>
    <t>CHR062</t>
  </si>
  <si>
    <t>Chauffage</t>
  </si>
  <si>
    <t>Réparation Chaudière/Fournaise/Radiateur</t>
  </si>
  <si>
    <t>Diagnostic panne chaudière (pas d'allumage)</t>
  </si>
  <si>
    <t>CHR063</t>
  </si>
  <si>
    <t>Remplacement résistance d'allumage (chaudière gaz)</t>
  </si>
  <si>
    <t>CHR064</t>
  </si>
  <si>
    <t>Remplacement thermocouple</t>
  </si>
  <si>
    <t>CHR065</t>
  </si>
  <si>
    <t>Remplacement électrode d'allumage</t>
  </si>
  <si>
    <t>CHR066</t>
  </si>
  <si>
    <t>Réparation brûleur encrassé</t>
  </si>
  <si>
    <t>CHR067</t>
  </si>
  <si>
    <t>Nettoyage complet brûleur et échangeur</t>
  </si>
  <si>
    <t>CHR068</t>
  </si>
  <si>
    <t>Remplacement échangeur de chaleur</t>
  </si>
  <si>
    <t>CHR069</t>
  </si>
  <si>
    <t>Réparation fuite de gaz - détection et réparation</t>
  </si>
  <si>
    <t>CHR070</t>
  </si>
  <si>
    <t>Remplacement vanne gaz</t>
  </si>
  <si>
    <t>CHR071</t>
  </si>
  <si>
    <t>Remplacement pompe de circulation (chaudière)</t>
  </si>
  <si>
    <t>CHR072</t>
  </si>
  <si>
    <t>Réparation vase d'expansion</t>
  </si>
  <si>
    <t>CHR073</t>
  </si>
  <si>
    <t>Remplacement vase d'expansion</t>
  </si>
  <si>
    <t>CHR074</t>
  </si>
  <si>
    <t>Réparation soupape de sécurité</t>
  </si>
  <si>
    <t>CHR075</t>
  </si>
  <si>
    <t>Remplacement soupape de sécurité</t>
  </si>
  <si>
    <t>CHR076</t>
  </si>
  <si>
    <t>Réparation manomètre / pressostat</t>
  </si>
  <si>
    <t>CHR077</t>
  </si>
  <si>
    <t>Remplacement carte électronique chaudière</t>
  </si>
  <si>
    <t>CHR078</t>
  </si>
  <si>
    <t>Réparation fuite d'eau circuit chauffage</t>
  </si>
  <si>
    <t>CHR079</t>
  </si>
  <si>
    <t>Purge et désembouage radiateurs (par radiateur)</t>
  </si>
  <si>
    <t>CHR080</t>
  </si>
  <si>
    <t>Remplacement vanne thermostatique radiateur</t>
  </si>
  <si>
    <t>CHR081</t>
  </si>
  <si>
    <t>Réparation radiateur qui ne chauffe pas</t>
  </si>
  <si>
    <t>CHR082</t>
  </si>
  <si>
    <t>Réparation chaudière au fioul - gicleur</t>
  </si>
  <si>
    <t>CHR083</t>
  </si>
  <si>
    <t>Réparation pompe à chaleur air-eau - compresseur</t>
  </si>
  <si>
    <t>CHR084</t>
  </si>
  <si>
    <t>Réparation pompe à chaleur - dégivrage défaillant</t>
  </si>
  <si>
    <t>CHR085</t>
  </si>
  <si>
    <t>Réparation fournaise au gaz - moteur de soufflante</t>
  </si>
  <si>
    <t>CHR086</t>
  </si>
  <si>
    <t>Remplacement moteur de soufflante (fournaise)</t>
  </si>
  <si>
    <t>CHR087</t>
  </si>
  <si>
    <t>Réparation thermostat d'ambiance filaire</t>
  </si>
  <si>
    <t>CHR088</t>
  </si>
  <si>
    <t>Réparation conduit d'évacuation des fumées</t>
  </si>
  <si>
    <t>CHR089</t>
  </si>
  <si>
    <t>Ramonage et inspection conduit de cheminée</t>
  </si>
  <si>
    <t>CHR090</t>
  </si>
  <si>
    <t>Réparation chauffe-eau intégré chaudière</t>
  </si>
  <si>
    <t>CHR091</t>
  </si>
  <si>
    <t>Détartrage chaudière (corps de chauffe)</t>
  </si>
  <si>
    <t>CHR092</t>
  </si>
  <si>
    <t>Remplacement résistance chauffe-eau électrique</t>
  </si>
  <si>
    <t>CHR093</t>
  </si>
  <si>
    <t>Réparation convecteur électrique</t>
  </si>
  <si>
    <t>CHR094</t>
  </si>
  <si>
    <t>Réparation plancher chauffant - fuite localisée</t>
  </si>
  <si>
    <t>CHR095</t>
  </si>
  <si>
    <t>Réparation tableau de régulation chauffage central</t>
  </si>
  <si>
    <t>CHR096</t>
  </si>
  <si>
    <t>Réparation pompe à chaleur géothermique - circuit</t>
  </si>
  <si>
    <t>CHI097</t>
  </si>
  <si>
    <t>Installation chaudière gaz murale (24kW)</t>
  </si>
  <si>
    <t>CHI098</t>
  </si>
  <si>
    <t>Installation chaudière gaz au sol (35kW)</t>
  </si>
  <si>
    <t>CHI099</t>
  </si>
  <si>
    <t>Installation chaudière fioul</t>
  </si>
  <si>
    <t>CHI100</t>
  </si>
  <si>
    <t>Installation chaudière à condensation</t>
  </si>
  <si>
    <t>CHI101</t>
  </si>
  <si>
    <t>Installation pompe à chaleur air-air (split)</t>
  </si>
  <si>
    <t>CHI102</t>
  </si>
  <si>
    <t>Installation pompe à chaleur air-eau</t>
  </si>
  <si>
    <t>CHI103</t>
  </si>
  <si>
    <t>Installation pompe à chaleur géothermique</t>
  </si>
  <si>
    <t>CHI104</t>
  </si>
  <si>
    <t>Installation fournaise au gaz résidentielle</t>
  </si>
  <si>
    <t>CHI105</t>
  </si>
  <si>
    <t>Installation fournaise électrique</t>
  </si>
  <si>
    <t>CHI106</t>
  </si>
  <si>
    <t>Installation chauffe-eau électrique 50L</t>
  </si>
  <si>
    <t>CHI107</t>
  </si>
  <si>
    <t>Installation chauffe-eau électrique 100L</t>
  </si>
  <si>
    <t>CHI108</t>
  </si>
  <si>
    <t>Installation chauffe-eau au gaz</t>
  </si>
  <si>
    <t>CHI109</t>
  </si>
  <si>
    <t>Installation chauffe-eau solaire</t>
  </si>
  <si>
    <t>CHI110</t>
  </si>
  <si>
    <t>Installation radiateur électrique (par unité)</t>
  </si>
  <si>
    <t>CHI111</t>
  </si>
  <si>
    <t>Installation radiateur à eau chaude (par unité)</t>
  </si>
  <si>
    <t>CHI112</t>
  </si>
  <si>
    <t>Installation plancher chauffant (par m²)</t>
  </si>
  <si>
    <t>CHI113</t>
  </si>
  <si>
    <t>Installation thermostat d'ambiance programmable</t>
  </si>
  <si>
    <t>CHI114</t>
  </si>
  <si>
    <t>Installation système de zonage chauffage</t>
  </si>
  <si>
    <t>CHI115</t>
  </si>
  <si>
    <t>Installation conduit d'évacuation fumées (par mètre)</t>
  </si>
  <si>
    <t>CHI116</t>
  </si>
  <si>
    <t>Installation vase d'expansion neuf</t>
  </si>
  <si>
    <t>CHI117</t>
  </si>
  <si>
    <t>Installation circuit de chauffage central complet (par radiateur)</t>
  </si>
  <si>
    <t>CHI118</t>
  </si>
  <si>
    <t>Installation pompe de circulation neuve</t>
  </si>
  <si>
    <t>CHI119</t>
  </si>
  <si>
    <t>Installation convecteur électrique mural</t>
  </si>
  <si>
    <t>CHI120</t>
  </si>
  <si>
    <t>Installation poêle à granulés</t>
  </si>
  <si>
    <t>CHI121</t>
  </si>
  <si>
    <t>Installation insert de cheminée</t>
  </si>
  <si>
    <t>VEN122</t>
  </si>
  <si>
    <t>Ventilation</t>
  </si>
  <si>
    <t>VMC/Gaines/Extraction</t>
  </si>
  <si>
    <t>Réparation extracteur d'air (VMC) - moteur</t>
  </si>
  <si>
    <t>VEN123</t>
  </si>
  <si>
    <t>Remplacement moteur VMC simple flux</t>
  </si>
  <si>
    <t>VEN124</t>
  </si>
  <si>
    <t>Réparation VMC double flux - échangeur</t>
  </si>
  <si>
    <t>VEN125</t>
  </si>
  <si>
    <t>Nettoyage complet gaines de ventilation (par système)</t>
  </si>
  <si>
    <t>VEN126</t>
  </si>
  <si>
    <t>Débouchage gaine d'air obstruée</t>
  </si>
  <si>
    <t>VEN127</t>
  </si>
  <si>
    <t>Réparation fuite d'air au niveau des jonctions gaines</t>
  </si>
  <si>
    <t>VEN128</t>
  </si>
  <si>
    <t>Réparation registre motorisé (damper)</t>
  </si>
  <si>
    <t>VEN129</t>
  </si>
  <si>
    <t>Remplacement registre motorisé</t>
  </si>
  <si>
    <t>VEN130</t>
  </si>
  <si>
    <t>Réparation grille de ventilation endommagée</t>
  </si>
  <si>
    <t>VEN131</t>
  </si>
  <si>
    <t>Réparation bouche d'extraction cuisine/SDB</t>
  </si>
  <si>
    <t>VEN132</t>
  </si>
  <si>
    <t>Installation VMC simple flux résidentielle</t>
  </si>
  <si>
    <t>VEN133</t>
  </si>
  <si>
    <t>Installation VMC double flux résidentielle</t>
  </si>
  <si>
    <t>VEN134</t>
  </si>
  <si>
    <t>Installation réseau de gaines complet (par m linéaire)</t>
  </si>
  <si>
    <t>VEN135</t>
  </si>
  <si>
    <t>Installation extracteur d'air salle de bain</t>
  </si>
  <si>
    <t>VEN136</t>
  </si>
  <si>
    <t>Installation extracteur d'air cuisine (hotte)</t>
  </si>
  <si>
    <t>VEN137</t>
  </si>
  <si>
    <t>Installation grilles de soufflage/reprise (par unité)</t>
  </si>
  <si>
    <t>VEN138</t>
  </si>
  <si>
    <t>Installation système de récupération de chaleur</t>
  </si>
  <si>
    <t>VEN139</t>
  </si>
  <si>
    <t>Installation gaine isolée flexible (par mètre)</t>
  </si>
  <si>
    <t>VEN140</t>
  </si>
  <si>
    <t>Réparation isolation thermique des gaines</t>
  </si>
  <si>
    <t>VEN141</t>
  </si>
  <si>
    <t>Équilibrage du réseau aéraulique (test and balance)</t>
  </si>
  <si>
    <t>AIR142</t>
  </si>
  <si>
    <t>Qualité de l'air</t>
  </si>
  <si>
    <t>Filtration/Humidité</t>
  </si>
  <si>
    <t>Installation purificateur d'air centralisé</t>
  </si>
  <si>
    <t>AIR143</t>
  </si>
  <si>
    <t>Installation humidificateur central</t>
  </si>
  <si>
    <t>AIR144</t>
  </si>
  <si>
    <t>Installation déshumidificateur central</t>
  </si>
  <si>
    <t>AIR145</t>
  </si>
  <si>
    <t>Réparation humidificateur - panne alimentation eau</t>
  </si>
  <si>
    <t>AIR146</t>
  </si>
  <si>
    <t>Réparation déshumidificateur - compresseur</t>
  </si>
  <si>
    <t>AIR147</t>
  </si>
  <si>
    <t>Remplacement filtre HEPA système centralisé</t>
  </si>
  <si>
    <t>AIR148</t>
  </si>
  <si>
    <t>Installation détecteur de monoxyde de carbone</t>
  </si>
  <si>
    <t>AIR149</t>
  </si>
  <si>
    <t>Installation purificateur UV intégré au système</t>
  </si>
  <si>
    <t>AIR150</t>
  </si>
  <si>
    <t>Nettoyage anti-moisissure du système complet</t>
  </si>
  <si>
    <t>AIR151</t>
  </si>
  <si>
    <t>Test et certification qualité de l'air intérieur</t>
  </si>
  <si>
    <t>CTR152</t>
  </si>
  <si>
    <t>Contrôles</t>
  </si>
  <si>
    <t>Thermostats/Domotique</t>
  </si>
  <si>
    <t>Installation thermostat connecté (smart)</t>
  </si>
  <si>
    <t>CTR153</t>
  </si>
  <si>
    <t>Installation thermostat programmable basique</t>
  </si>
  <si>
    <t>CTR154</t>
  </si>
  <si>
    <t>Installation système domotique HVAC complet</t>
  </si>
  <si>
    <t>CTR155</t>
  </si>
  <si>
    <t>Installation capteurs de température multizones</t>
  </si>
  <si>
    <t>CTR156</t>
  </si>
  <si>
    <t>Réparation thermostat connecté - connectivité Wi-Fi</t>
  </si>
  <si>
    <t>CTR157</t>
  </si>
  <si>
    <t>Réparation système de zonage défaillant</t>
  </si>
  <si>
    <t>CTR158</t>
  </si>
  <si>
    <t>Configuration et calibrage thermostat</t>
  </si>
  <si>
    <t>CTR159</t>
  </si>
  <si>
    <t>Réparation capteur de température extérieur</t>
  </si>
  <si>
    <t>CTR160</t>
  </si>
  <si>
    <t>Remplacement panneau de contrôle central</t>
  </si>
  <si>
    <t>CTR161</t>
  </si>
  <si>
    <t>Mise à jour firmware système de contrôle</t>
  </si>
  <si>
    <t>MNT162</t>
  </si>
  <si>
    <t>Maintenance</t>
  </si>
  <si>
    <t>Entretien préventif</t>
  </si>
  <si>
    <t>Entretien annuel climatiseur split (standard)</t>
  </si>
  <si>
    <t>MNT163</t>
  </si>
  <si>
    <t>Entretien annuel climatiseur central</t>
  </si>
  <si>
    <t>MNT164</t>
  </si>
  <si>
    <t>Entretien annuel chaudière gaz (obligatoire)</t>
  </si>
  <si>
    <t>MNT165</t>
  </si>
  <si>
    <t>Entretien annuel pompe à chaleur</t>
  </si>
  <si>
    <t>MNT166</t>
  </si>
  <si>
    <t>Contrat de maintenance préventive (visite trimestrielle)</t>
  </si>
  <si>
    <t>MNT167</t>
  </si>
  <si>
    <t>Inspection pré-saison été (check-up complet)</t>
  </si>
  <si>
    <t>MNT168</t>
  </si>
  <si>
    <t>Inspection pré-saison hiver (check-up complet)</t>
  </si>
  <si>
    <t>MNT169</t>
  </si>
  <si>
    <t>Nettoyage et vérification générale système gainable</t>
  </si>
  <si>
    <t>MNT170</t>
  </si>
  <si>
    <t>Test de performance énergétique du système</t>
  </si>
  <si>
    <t>MNT171</t>
  </si>
  <si>
    <t>Audit énergétique complet installation HVAC</t>
  </si>
  <si>
    <t>ELE172</t>
  </si>
  <si>
    <t>Électrique</t>
  </si>
  <si>
    <t>Composants électriques</t>
  </si>
  <si>
    <t>Diagnostic électrique général panne HVAC</t>
  </si>
  <si>
    <t>ELE173</t>
  </si>
  <si>
    <t>Remplacement contacteur compresseur</t>
  </si>
  <si>
    <t>ELE174</t>
  </si>
  <si>
    <t>Réparation court-circuit câblage HVAC</t>
  </si>
  <si>
    <t>ELE175</t>
  </si>
  <si>
    <t>Remplacement fusible / protection électrique</t>
  </si>
  <si>
    <t>ELE176</t>
  </si>
  <si>
    <t>Réparation mise à la terre défaillante</t>
  </si>
  <si>
    <t>ELE177</t>
  </si>
  <si>
    <t>Remplacement transformateur basse tension</t>
  </si>
  <si>
    <t>ELE178</t>
  </si>
  <si>
    <t>Réparation interrupteur de sécurité (safety switch)</t>
  </si>
  <si>
    <t>ELE179</t>
  </si>
  <si>
    <t>Installation prise électrique dédiée extérieure</t>
  </si>
  <si>
    <t>ELE180</t>
  </si>
  <si>
    <t>Mise aux normes électriques installation HVAC</t>
  </si>
  <si>
    <t>ELE181</t>
  </si>
  <si>
    <t>Réparation surchauffe moteur électrique</t>
  </si>
  <si>
    <t>COM182</t>
  </si>
  <si>
    <t>Commercial/Industriel</t>
  </si>
  <si>
    <t>Systèmes commerciaux</t>
  </si>
  <si>
    <t>Réparation rooftop unit commercial - compresseur</t>
  </si>
  <si>
    <t>COM183</t>
  </si>
  <si>
    <t>Installation rooftop unit commercial (5 tonnes)</t>
  </si>
  <si>
    <t>COM184</t>
  </si>
  <si>
    <t>Réparation chiller industriel - circuit frigorifique</t>
  </si>
  <si>
    <t>COM185</t>
  </si>
  <si>
    <t>Installation chiller industriel (petite capacité)</t>
  </si>
  <si>
    <t>COM186</t>
  </si>
  <si>
    <t>Réparation tour de refroidissement (cooling tower)</t>
  </si>
  <si>
    <t>COM187</t>
  </si>
  <si>
    <t>Installation système CVC commercial (par zone)</t>
  </si>
  <si>
    <t>COM188</t>
  </si>
  <si>
    <t>Réparation centrale de traitement d'air (CTA)</t>
  </si>
  <si>
    <t>COM189</t>
  </si>
  <si>
    <t>Installation centrale de traitement d'air (CTA)</t>
  </si>
  <si>
    <t>COM190</t>
  </si>
  <si>
    <t>Maintenance système HVAC commercial (contrat annuel)</t>
  </si>
  <si>
    <t>COM191</t>
  </si>
  <si>
    <t>Réparation système VRF commercial - unité extérieure</t>
  </si>
  <si>
    <t>DIV192</t>
  </si>
  <si>
    <t>Divers/Complémentaire</t>
  </si>
  <si>
    <t>Réparations et installations complémentaires</t>
  </si>
  <si>
    <t>Remplacement bougie d'allumage (chaudière fioul)</t>
  </si>
  <si>
    <t>DIV193</t>
  </si>
  <si>
    <t>Réparation pressostat air (chaudière)</t>
  </si>
  <si>
    <t>DIV194</t>
  </si>
  <si>
    <t>Réparation circulateur bloqué (grippé)</t>
  </si>
  <si>
    <t>DIV195</t>
  </si>
  <si>
    <t>Remplacement joint d'étanchéité chaudière</t>
  </si>
  <si>
    <t>DIV196</t>
  </si>
  <si>
    <t>Réparation siphon de chaudière à condensation</t>
  </si>
  <si>
    <t>DIV197</t>
  </si>
  <si>
    <t>Réparation neutraliseur de condensats</t>
  </si>
  <si>
    <t>DIV198</t>
  </si>
  <si>
    <t>Réparation ballon tampon (chauffage)</t>
  </si>
  <si>
    <t>DIV199</t>
  </si>
  <si>
    <t>Remplacement anode chauffe-eau</t>
  </si>
  <si>
    <t>DIV200</t>
  </si>
  <si>
    <t>Détartrage chauffe-eau électrique</t>
  </si>
  <si>
    <t>DIV201</t>
  </si>
  <si>
    <t>Réparation thermostat chauffe-eau</t>
  </si>
  <si>
    <t>DIV202</t>
  </si>
  <si>
    <t>Réparation fuite cuve chauffe-eau</t>
  </si>
  <si>
    <t>DIV203</t>
  </si>
  <si>
    <t>Remplacement groupe de sécurité chauffe-eau</t>
  </si>
  <si>
    <t>DIV204</t>
  </si>
  <si>
    <t>Réparation pompe à chaleur - dysfonctionnement carte</t>
  </si>
  <si>
    <t>DIV205</t>
  </si>
  <si>
    <t>Réparation pompe à chaleur - capteur extérieur</t>
  </si>
  <si>
    <t>DIV206</t>
  </si>
  <si>
    <t>Remplacement filtre déshydrateur (drier filter)</t>
  </si>
  <si>
    <t>DIV207</t>
  </si>
  <si>
    <t>Réparation bruit compresseur anormal</t>
  </si>
  <si>
    <t>DIV208</t>
  </si>
  <si>
    <t>Remplacement courroie ventilateur (anciens modèles)</t>
  </si>
  <si>
    <t>DIV209</t>
  </si>
  <si>
    <t>Réparation fuite huile compresseur</t>
  </si>
  <si>
    <t>DIV210</t>
  </si>
  <si>
    <t>Réparation givrage excessif unité extérieure</t>
  </si>
  <si>
    <t>DIV211</t>
  </si>
  <si>
    <t>Réparation surchauffe unité extérieure</t>
  </si>
  <si>
    <t>DIV212</t>
  </si>
  <si>
    <t>Réparation défaut de communication unité int/ext</t>
  </si>
  <si>
    <t>DIV213</t>
  </si>
  <si>
    <t>Remplacement sonde de dégivrage</t>
  </si>
  <si>
    <t>DIV214</t>
  </si>
  <si>
    <t>Réparation oscillation/volet automatique bloqué</t>
  </si>
  <si>
    <t>DIV215</t>
  </si>
  <si>
    <t>Réparation mode veille ne s'éteint pas</t>
  </si>
  <si>
    <t>DIV216</t>
  </si>
  <si>
    <t>Réparation odeur suspecte / moisissure dans système</t>
  </si>
  <si>
    <t>DIV217</t>
  </si>
  <si>
    <t>Réparation climatiseur fait du bruit au démarrage</t>
  </si>
  <si>
    <t>DIV218</t>
  </si>
  <si>
    <t>Réparation panne après coupure électrique</t>
  </si>
  <si>
    <t>DIV219</t>
  </si>
  <si>
    <t>Diagnostic complet avant achat / pré-achat immobilier</t>
  </si>
  <si>
    <t>DIV220</t>
  </si>
  <si>
    <t>Réparation défaut d'étanchéité toiture (passage gaine)</t>
  </si>
  <si>
    <t>DIV221</t>
  </si>
  <si>
    <t>Réparation support métallique corrodé</t>
  </si>
  <si>
    <t>DIV222</t>
  </si>
  <si>
    <t>Remplacement câble d'alimentation endommagé</t>
  </si>
  <si>
    <t>DIV223</t>
  </si>
  <si>
    <t>Réparation prise de terre défectueuse</t>
  </si>
  <si>
    <t>DIV224</t>
  </si>
  <si>
    <t>Réparation fuite au raccord union (tuyauterie cuivre)</t>
  </si>
  <si>
    <t>DIV225</t>
  </si>
  <si>
    <t>Remplacement raccord cuivre tuyauterie frigorifique</t>
  </si>
  <si>
    <t>DIV226</t>
  </si>
  <si>
    <t>Réparation défaut affichage écran de commande</t>
  </si>
  <si>
    <t>DIV227</t>
  </si>
  <si>
    <t>Réparation clapet anti-retour gaine d'extraction</t>
  </si>
  <si>
    <t>DIV228</t>
  </si>
  <si>
    <t>Réinstallation suite à déménagement (déconnexion + reconnexion)</t>
  </si>
  <si>
    <t>DIV229</t>
  </si>
  <si>
    <t>Délocalisation unité extérieure (changement emplacement)</t>
  </si>
  <si>
    <t>DIV230</t>
  </si>
  <si>
    <t>Extension tuyauterie frigorifique (par mètre supplémentaire au-delà standard)</t>
  </si>
  <si>
    <t>DIV231</t>
  </si>
  <si>
    <t>Installation kit anti-vibration et insonorisation</t>
  </si>
  <si>
    <t>DIV232</t>
  </si>
  <si>
    <t>Installation protection anti-intempéries unité extérieure</t>
  </si>
  <si>
    <t>DIV233</t>
  </si>
  <si>
    <t>Installation grillage de protection anti-volatiles</t>
  </si>
  <si>
    <t>DIV234</t>
  </si>
  <si>
    <t>Installation détendeur électronique haute précision</t>
  </si>
  <si>
    <t>DIV235</t>
  </si>
  <si>
    <t>Installation séparateur d'huile (système commercial)</t>
  </si>
  <si>
    <t>DIV236</t>
  </si>
  <si>
    <t>Installation réservoir de stockage réfrigérant</t>
  </si>
  <si>
    <t>DIV237</t>
  </si>
  <si>
    <t>Installation système de récupération réfrigérant (recovery)</t>
  </si>
  <si>
    <t>DIV238</t>
  </si>
  <si>
    <t>Installation kit de surveillance à distance (IoT)</t>
  </si>
  <si>
    <t>DIV239</t>
  </si>
  <si>
    <t>Installation compteur d'énergie dédié climatisation</t>
  </si>
  <si>
    <t>DIV240</t>
  </si>
  <si>
    <t>Installation onduleur/régulateur de tension pour HVAC</t>
  </si>
  <si>
    <t>DIV241</t>
  </si>
  <si>
    <t>Installation paravent / écran anti-vent unité extérieure</t>
  </si>
  <si>
    <t>DIV242</t>
  </si>
  <si>
    <t>Installation système de filtration eau pour humidificateur</t>
  </si>
  <si>
    <t>DIV243</t>
  </si>
  <si>
    <t>Installation gaine rigide isolée (par mètre)</t>
  </si>
  <si>
    <t>DIV244</t>
  </si>
  <si>
    <t>Installation registre coupe-feu</t>
  </si>
  <si>
    <t>DIV245</t>
  </si>
  <si>
    <t>Installation silencieux acoustique sur gaine</t>
  </si>
  <si>
    <t>DIV246</t>
  </si>
  <si>
    <t>Installation ventilateur d'extraction industriel</t>
  </si>
  <si>
    <t>DIV247</t>
  </si>
  <si>
    <t>Installation économiseur d'air (free-cooling)</t>
  </si>
  <si>
    <t>DIV248</t>
  </si>
  <si>
    <t>Installation kit de récupération d'énergie sur extraction</t>
  </si>
  <si>
    <t>DIV249</t>
  </si>
  <si>
    <t>Mise en service et essais système neuf (commissioning)</t>
  </si>
  <si>
    <t>DIV250</t>
  </si>
  <si>
    <t>Formation utilisateur sur nouveau système installé</t>
  </si>
  <si>
    <t>cout_base_usd_pieces = coût des pièces/fournitures uniquement (hors main d'œuvre, hors appareil neuf). La main d'œuvre est ajoutée via heures_estimees x taux_horaire_local (feuille Donnees_Regionales_MENA).</t>
  </si>
  <si>
    <t>niveau_urgence</t>
  </si>
  <si>
    <t>description</t>
  </si>
  <si>
    <t>delai_intervention</t>
  </si>
  <si>
    <t>multiplicateur_urgence</t>
  </si>
  <si>
    <t>Standard</t>
  </si>
  <si>
    <t>Intervention planifiée à l'avance</t>
  </si>
  <si>
    <t>3 à 7 jours</t>
  </si>
  <si>
    <t>Rapide</t>
  </si>
  <si>
    <t>Intervention sous 24 à 48h</t>
  </si>
  <si>
    <t>24-48 heures</t>
  </si>
  <si>
    <t>Urgent</t>
  </si>
  <si>
    <t>Intervention le jour même</t>
  </si>
  <si>
    <t>Même jour</t>
  </si>
  <si>
    <t>Urgence immédiate</t>
  </si>
  <si>
    <t>Intervention sous 2 heures (panne critique)</t>
  </si>
  <si>
    <t>&lt; 2 heures</t>
  </si>
  <si>
    <t>Nuit / Week-end / Jour férié</t>
  </si>
  <si>
    <t>Intervention en dehors des heures ouvrées</t>
  </si>
  <si>
    <t>Variable</t>
  </si>
  <si>
    <t>niveau_complexite</t>
  </si>
  <si>
    <t>multiplicateur_complexite</t>
  </si>
  <si>
    <t>Simple</t>
  </si>
  <si>
    <t>Intervention standard, accès facile, équipement courant</t>
  </si>
  <si>
    <t>Modérée</t>
  </si>
  <si>
    <t>Nécessite un diagnostic approfondi ou un accès partiellement difficile</t>
  </si>
  <si>
    <t>Élevée</t>
  </si>
  <si>
    <t>Système complexe (gainable, multi-split, commercial), accès difficile</t>
  </si>
  <si>
    <t>Très élevée</t>
  </si>
  <si>
    <t>Système industriel/commercial de grande capacité, hauteur, toiture, espace confiné</t>
  </si>
  <si>
    <t>Exceptionnelle</t>
  </si>
  <si>
    <t>Cas rare nécessitant équipement spécialisé ou intervention multi-techniciens</t>
  </si>
  <si>
    <t>periode</t>
  </si>
  <si>
    <t>mois_concernes</t>
  </si>
  <si>
    <t>multiplicateur_saisonnier</t>
  </si>
  <si>
    <t>Haute saison été (clim)</t>
  </si>
  <si>
    <t>Juin - Septembre</t>
  </si>
  <si>
    <t>Forte demande climatisation, délais tendus</t>
  </si>
  <si>
    <t>Haute saison hiver (chauffage)</t>
  </si>
  <si>
    <t>Décembre - Février</t>
  </si>
  <si>
    <t>Forte demande chauffage</t>
  </si>
  <si>
    <t>Saison intermédiaire</t>
  </si>
  <si>
    <t>Mars - Mai</t>
  </si>
  <si>
    <t>Demande modérée</t>
  </si>
  <si>
    <t>Basse saison</t>
  </si>
  <si>
    <t>Octobre - Novembre</t>
  </si>
  <si>
    <t>Faible demande, disponibilité technicien élevée</t>
  </si>
  <si>
    <t>Période de canicule / vague de chaleur</t>
  </si>
  <si>
    <t>Variable (pic été)</t>
  </si>
  <si>
    <t>Pic exceptionnel de demande</t>
  </si>
  <si>
    <t>pays</t>
  </si>
  <si>
    <t>devise</t>
  </si>
  <si>
    <t>code_devise</t>
  </si>
  <si>
    <t>taux_change_vers_USD_1USD_equiv</t>
  </si>
  <si>
    <t>taux_horaire_local_technicien</t>
  </si>
  <si>
    <t>ajustement_regional_main_oeuvre</t>
  </si>
  <si>
    <t>facteur_importation_appareil</t>
  </si>
  <si>
    <t>source_indicative</t>
  </si>
  <si>
    <t>Tunisie</t>
  </si>
  <si>
    <t>Dinar tunisien</t>
  </si>
  <si>
    <t>TND</t>
  </si>
  <si>
    <t>ProTunisie/ClimChaud/SM-Devis 2025 (référence calibration)</t>
  </si>
  <si>
    <t>Maroc</t>
  </si>
  <si>
    <t>Dirham marocain</t>
  </si>
  <si>
    <t>MAD</t>
  </si>
  <si>
    <t>ComptoirElectro.ma/Mano.ma 2025-26</t>
  </si>
  <si>
    <t>Algérie</t>
  </si>
  <si>
    <t>Dinar algérien</t>
  </si>
  <si>
    <t>DZD</t>
  </si>
  <si>
    <t>Estimation marché formel/informel Algérie 2025</t>
  </si>
  <si>
    <t>Égypte</t>
  </si>
  <si>
    <t>Livre égyptienne</t>
  </si>
  <si>
    <t>EGP</t>
  </si>
  <si>
    <t>Estimation marché Caire/Alexandrie 2025</t>
  </si>
  <si>
    <t>Libye</t>
  </si>
  <si>
    <t>Dinar libyen</t>
  </si>
  <si>
    <t>LYD</t>
  </si>
  <si>
    <t>Estimation marché Tripoli 2025</t>
  </si>
  <si>
    <t>Arabie Saoudite</t>
  </si>
  <si>
    <t>Riyal saoudien</t>
  </si>
  <si>
    <t>SAR</t>
  </si>
  <si>
    <t>Estimation marché Riyad/Jeddah 2025</t>
  </si>
  <si>
    <t>Émirats Arabes Unis</t>
  </si>
  <si>
    <t>Dirham émirati</t>
  </si>
  <si>
    <t>AED</t>
  </si>
  <si>
    <t>Estimation marché Dubaï/Abu Dhabi 2025</t>
  </si>
  <si>
    <t>Qatar</t>
  </si>
  <si>
    <t>Riyal qatari</t>
  </si>
  <si>
    <t>QAR</t>
  </si>
  <si>
    <t>Estimation marché Doha 2025</t>
  </si>
  <si>
    <t>Koweït</t>
  </si>
  <si>
    <t>Dinar koweïtien</t>
  </si>
  <si>
    <t>KWD</t>
  </si>
  <si>
    <t>Estimation marché Koweït City 2025</t>
  </si>
  <si>
    <t>Bahreïn</t>
  </si>
  <si>
    <t>Dinar bahreïni</t>
  </si>
  <si>
    <t>BHD</t>
  </si>
  <si>
    <t>Estimation marché Manama 2025</t>
  </si>
  <si>
    <t>Oman</t>
  </si>
  <si>
    <t>Riyal omanais</t>
  </si>
  <si>
    <t>OMR</t>
  </si>
  <si>
    <t>Estimation marché Mascate 2025</t>
  </si>
  <si>
    <t>Jordanie</t>
  </si>
  <si>
    <t>Dinar jordanien</t>
  </si>
  <si>
    <t>JOD</t>
  </si>
  <si>
    <t>Estimation marché Amman 2025</t>
  </si>
  <si>
    <t>Liban</t>
  </si>
  <si>
    <t>Livre libanaise (marché dollarisé)</t>
  </si>
  <si>
    <t>USD</t>
  </si>
  <si>
    <t>Marché dollarisé de facto post-crise 2025</t>
  </si>
  <si>
    <t>Irak</t>
  </si>
  <si>
    <t>Dinar irakien</t>
  </si>
  <si>
    <t>IQD</t>
  </si>
  <si>
    <t>Estimation marché Bagdad/Erbil 2025</t>
  </si>
  <si>
    <t>Notes :</t>
  </si>
  <si>
    <t>- taux_change_vers_USD : nombre d'unités de devise locale pour 1 USD (ordre de grandeur, à actualiser).</t>
  </si>
  <si>
    <t>- taux_horaire_local_technicien : tarif horaire moyen d'un technicien HVAC qualifié, EN DEVISE LOCALE.</t>
  </si>
  <si>
    <t xml:space="preserve">  C'est ICI que la différence de coût de main d'œuvre entre pays MENA est prise en compte (et non sur</t>
  </si>
  <si>
    <t xml:space="preserve">  le coût des pièces, qui reste proche d'un prix d'importation international car le matériel HVAC est</t>
  </si>
  <si>
    <t xml:space="preserve">  majoritairement importé partout dans la région).</t>
  </si>
  <si>
    <t>- ajustement_regional_main_oeuvre : facteur modéré (0.85 à 1.20) appliqué UNIQUEMENT à la composante</t>
  </si>
  <si>
    <t xml:space="preserve">  main d'œuvre (heures_estimees x taux_horaire_local, déjà en devise locale). Il reflète des écarts de</t>
  </si>
  <si>
    <t xml:space="preserve">  positionnement de marché (formel/informel, zone urbaine/rurale), pas un facteur de conversion de devise.</t>
  </si>
  <si>
    <t>- facteur_importation_appareil : majoration appliquée au coût des appareils neufs importés (droits de</t>
  </si>
  <si>
    <t xml:space="preserve">  douane, transport, marge distributeur), appliquée uniquement sur la feuille Cout_Appareil.</t>
  </si>
  <si>
    <t>marge_fixe_usd</t>
  </si>
  <si>
    <t>Marge fixe couvrant déplacement et frais administratifs (réparations) - montant volontairement modeste</t>
  </si>
  <si>
    <t>Marge fixe couvrant déplacement, mise en service et suivi (installations) - montant volontairement modeste</t>
  </si>
  <si>
    <t>Note</t>
  </si>
  <si>
    <t>La marge_fixe est exprimée en USD ; elle doit être convertie en devise locale avec le même</t>
  </si>
  <si>
    <t>taux_change_vers_USD que la composante coût_base avant d'être additionnée au prix final.</t>
  </si>
  <si>
    <t>categorie_appareil</t>
  </si>
  <si>
    <t>modele_type</t>
  </si>
  <si>
    <t>puissance_capacite</t>
  </si>
  <si>
    <t>cout_appareil_usd_moyen</t>
  </si>
  <si>
    <t>Climatiseur split mural</t>
  </si>
  <si>
    <t>Entrée de gamme</t>
  </si>
  <si>
    <t>9000 BTU</t>
  </si>
  <si>
    <t>Marque locale/générique (ex. Condor, Saba)</t>
  </si>
  <si>
    <t>Milieu de gamme</t>
  </si>
  <si>
    <t>12000 BTU</t>
  </si>
  <si>
    <t>Marque reconnue (Midea, Gree, TCL)</t>
  </si>
  <si>
    <t>18000 BTU</t>
  </si>
  <si>
    <t>Marque reconnue</t>
  </si>
  <si>
    <t>Haut de gamme inverter</t>
  </si>
  <si>
    <t>Daikin, Mitsubishi, Samsung, LG</t>
  </si>
  <si>
    <t>Climatiseur gainable</t>
  </si>
  <si>
    <t>Résidentiel standard</t>
  </si>
  <si>
    <t>24000-36000 BTU</t>
  </si>
  <si>
    <t>Unité + air handler</t>
  </si>
  <si>
    <t>Climatiseur central</t>
  </si>
  <si>
    <t>Résidentiel</t>
  </si>
  <si>
    <t>3 tonnes</t>
  </si>
  <si>
    <t>Groupe extérieur + air handler</t>
  </si>
  <si>
    <t>Climatiseur cassette</t>
  </si>
  <si>
    <t>Commercial léger</t>
  </si>
  <si>
    <t>24000 BTU</t>
  </si>
  <si>
    <t>Cassette plafonnière 4 voies</t>
  </si>
  <si>
    <t>Climatiseur fenêtre</t>
  </si>
  <si>
    <t>9000-12000 BTU</t>
  </si>
  <si>
    <t>Climatiseur portable</t>
  </si>
  <si>
    <t>Chaudière gaz murale</t>
  </si>
  <si>
    <t>Standard non condensation</t>
  </si>
  <si>
    <t>24 kW</t>
  </si>
  <si>
    <t>Condensation haute efficacité</t>
  </si>
  <si>
    <t>Chaudière fioul</t>
  </si>
  <si>
    <t>30 kW</t>
  </si>
  <si>
    <t>Pompe à chaleur air-air</t>
  </si>
  <si>
    <t>Pompe à chaleur air-eau</t>
  </si>
  <si>
    <t>8-12 kW</t>
  </si>
  <si>
    <t>Pompe à chaleur géothermique</t>
  </si>
  <si>
    <t>10 kW</t>
  </si>
  <si>
    <t>Fournaise au gaz</t>
  </si>
  <si>
    <t>Résidentielle</t>
  </si>
  <si>
    <t>80 000-100 000 BTU</t>
  </si>
  <si>
    <t>Fournaise électrique</t>
  </si>
  <si>
    <t>15 kW</t>
  </si>
  <si>
    <t>Chauffe-eau électrique</t>
  </si>
  <si>
    <t>50 L</t>
  </si>
  <si>
    <t>100 L</t>
  </si>
  <si>
    <t>Chauffe-eau au gaz</t>
  </si>
  <si>
    <t>instantané</t>
  </si>
  <si>
    <t>Chauffe-eau solaire</t>
  </si>
  <si>
    <t>150-200 L</t>
  </si>
  <si>
    <t>VMC simple flux</t>
  </si>
  <si>
    <t>standard</t>
  </si>
  <si>
    <t>VMC double flux</t>
  </si>
  <si>
    <t>avec échangeur</t>
  </si>
  <si>
    <t>Thermostat connecté</t>
  </si>
  <si>
    <t>Smart</t>
  </si>
  <si>
    <t>-</t>
  </si>
  <si>
    <t>Nest, Ecobee, ou équivalent local</t>
  </si>
  <si>
    <t>Thermostat programmable</t>
  </si>
  <si>
    <t>Basique</t>
  </si>
  <si>
    <t>Humidificateur central</t>
  </si>
  <si>
    <t>Déshumidificateur central</t>
  </si>
  <si>
    <t>Purificateur d'air centralisé</t>
  </si>
  <si>
    <t>avec filtre HEPA</t>
  </si>
  <si>
    <t>Rooftop unit commercial</t>
  </si>
  <si>
    <t>5 tonnes</t>
  </si>
  <si>
    <t>Chiller industriel</t>
  </si>
  <si>
    <t>Petite capacité</t>
  </si>
  <si>
    <t>20-30 tonnes</t>
  </si>
  <si>
    <t>Centrale de traitement d'air (CTA)</t>
  </si>
  <si>
    <t>Commercial</t>
  </si>
  <si>
    <t>Poêle à granulés</t>
  </si>
  <si>
    <t>8 kW</t>
  </si>
  <si>
    <t>Insert de cheminée</t>
  </si>
  <si>
    <t>Note : prix appareil seul (hors pose), avant application du facteur_importation_appareil par pays (feuille Donnees_Regionales_MENA).</t>
  </si>
  <si>
    <t>CALCULATEUR DE PRIX - EXEMPLE D'APPLICATION DE LA FORMULE</t>
  </si>
  <si>
    <t>Formule :</t>
  </si>
  <si>
    <t>prix_final = (coût_base_pièces convertie en devise locale)</t>
  </si>
  <si>
    <t xml:space="preserve">             + (heures_estimées × taux_horaire_local × ajustement_régional × mult_urgence × mult_complexité × mult_saisonnier)</t>
  </si>
  <si>
    <t>PARAMÈTRES D'ENTRÉE (à modifier pour simuler un devis)</t>
  </si>
  <si>
    <t>Code intervention (voir feuille Types_Pannes_Installations)</t>
  </si>
  <si>
    <t>Pays (voir feuille Donnees_Regionales_MENA)</t>
  </si>
  <si>
    <t>Niveau d'urgence (voir feuille Multiplicateurs_Urgence)</t>
  </si>
  <si>
    <t>Niveau de complexité (voir feuille Multiplicateurs_Complexite)</t>
  </si>
  <si>
    <t>Période / saison (voir feuille Multiplicateurs_Saisonnier)</t>
  </si>
  <si>
    <t>Appareil neuf requis ? (OUI/NON)</t>
  </si>
  <si>
    <t>NON</t>
  </si>
  <si>
    <t>Catégorie appareil (si OUI, voir feuille Cout_Appareil)</t>
  </si>
  <si>
    <t>VALEURS RÉCUPÉRÉES</t>
  </si>
  <si>
    <t>devise_pays</t>
  </si>
  <si>
    <t>taux_change_vers_USD</t>
  </si>
  <si>
    <t>taux_horaire_local</t>
  </si>
  <si>
    <t>cout_appareil_usd</t>
  </si>
  <si>
    <t>DÉTAIL DU CALCUL</t>
  </si>
  <si>
    <t>1) Coût pièces converti en devise locale (PAS de multiplicateur ici)</t>
  </si>
  <si>
    <t>2) (supprimé - fusionné avec ligne 1)</t>
  </si>
  <si>
    <t>3) Main d'œuvre locale ajustée x multiplicateurs (devise locale)</t>
  </si>
  <si>
    <t>4) Marge fixe convertie en devise locale</t>
  </si>
  <si>
    <t>5) Coût appareil neuf (avec import) converti en devise locale</t>
  </si>
  <si>
    <t>PRIX FINAL ESTIMÉ (devise locale)</t>
  </si>
  <si>
    <t>Équivalent approximatif en USD</t>
  </si>
  <si>
    <t>Astuce : changez les valeurs bleues (paramètres d'entrée) ci-dessus pour simuler n'importe quel devis.</t>
  </si>
  <si>
    <t>Vérification (Tunisie, code CLR007 compresseur split) : voir feuille Verification_Exemples pour le détail Tunisie + Maroc comparé aux prix marché réels.</t>
  </si>
  <si>
    <t>VÉRIFICATION - COMPARAISON PRIX CALCULÉS vs PRIX MARCHÉ RÉELS (Tunisie &amp; Maroc)</t>
  </si>
  <si>
    <t>Objectif : valider que la formule recalibrée (multiplicateurs appliqués UNIQUEMENT à la main d'œuvre, pas aux pièces) donne des prix réalistes, comparés aux fourchettes trouvées en ligne (sources citées).</t>
  </si>
  <si>
    <t>Pays</t>
  </si>
  <si>
    <t>Code</t>
  </si>
  <si>
    <t>Intervention</t>
  </si>
  <si>
    <t>Urgence</t>
  </si>
  <si>
    <t>Complexité</t>
  </si>
  <si>
    <t>Saison</t>
  </si>
  <si>
    <t>cout_base_usd</t>
  </si>
  <si>
    <t>heures</t>
  </si>
  <si>
    <t>taux_change</t>
  </si>
  <si>
    <t>ajustement_regional</t>
  </si>
  <si>
    <t>mult_urgence</t>
  </si>
  <si>
    <t>mult_complexite</t>
  </si>
  <si>
    <t>mult_saisonnier</t>
  </si>
  <si>
    <t>Prix_pieces_local</t>
  </si>
  <si>
    <t>Prix_MO_local</t>
  </si>
  <si>
    <t>Marge_local</t>
  </si>
  <si>
    <t>PRIX_FINAL_local</t>
  </si>
  <si>
    <t>Equivalent_USD</t>
  </si>
  <si>
    <t>Fourchette_marche_reelle</t>
  </si>
  <si>
    <t>Source</t>
  </si>
  <si>
    <t>300 - 700 DT (pièce 150-450 DT + main d'œuvre)</t>
  </si>
  <si>
    <t>SM-Devis.tn 2025</t>
  </si>
  <si>
    <t>450 - 1000 DT (majoration urgence + saison)</t>
  </si>
  <si>
    <t>SM-Devis.tn 2025 (estimation cohérente)</t>
  </si>
  <si>
    <t>500 - 1500 MAD (pose split, hors appareil)</t>
  </si>
  <si>
    <t>ComptoirElectro.ma / Mano.ma 2025-26</t>
  </si>
  <si>
    <t>450 - 800 MAD (entretien annuel chaudière)</t>
  </si>
  <si>
    <t>Mano.ma 2025-26</t>
  </si>
  <si>
    <t>Lecture : comparez la colonne S (PRIX_FINAL_local) ou U (équivalent USD) à la colonne V (fourchette de marché réelle trouvée en ligne). Si le résultat tombe dans la fourchette ou proche, la calibration est jugée correcte.</t>
  </si>
  <si>
    <t>BASE DE DONNÉES - TARIFICATION HVAC RÉGION MENA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</si>
</sst>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b/>
      <i/>
      <sz val="9"/>
      <name val="Arial"/>
      <charset val="1"/>
    </font>
    <font>
      <b/>
      <sz val="13"/>
      <name val="Arial"/>
      <charset val="1"/>
    </font>
    <font>
      <i/>
      <sz val="10"/>
      <name val="Arial"/>
      <charset val="1"/>
    </font>
    <font>
      <b/>
      <sz val="11"/>
      <name val="Arial"/>
      <charset val="1"/>
    </font>
    <font>
      <b/>
      <sz val="10"/>
      <color rgb="FF0000FF"/>
      <name val="Arial"/>
      <charset val="1"/>
    </font>
    <font>
      <b/>
      <sz val="12"/>
      <name val="Arial"/>
      <charset val="1"/>
    </font>
    <font>
      <b/>
      <sz val="12"/>
      <color rgb="FF006100"/>
      <name val="Arial"/>
      <charset val="1"/>
    </font>
    <font>
      <b/>
      <sz val="13"/>
      <name val="Cambria"/>
      <charset val="1"/>
    </font>
    <font>
      <b/>
      <sz val="11"/>
      <color rgb="FFFFFFFF"/>
      <name val="Cambria"/>
      <charset val="1"/>
    </font>
    <font>
      <sz val="11"/>
      <color rgb="FF0000FF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6"/>
  <sheetViews>
    <sheetView zoomScaleNormal="100" workbookViewId="0">
      <selection activeCell="A69" sqref="A69"/>
    </sheetView>
  </sheetViews>
  <sheetFormatPr baseColWidth="10" defaultColWidth="8.6640625" defaultRowHeight="14.4" x14ac:dyDescent="0.3"/>
  <cols>
    <col min="1" max="1" width="120" style="3" customWidth="1"/>
    <col min="2" max="16384" width="8.6640625" style="3"/>
  </cols>
  <sheetData>
    <row r="1" spans="1:1" ht="17.25" customHeight="1" x14ac:dyDescent="0.3">
      <c r="A1" s="2" t="s">
        <v>856</v>
      </c>
    </row>
    <row r="2" spans="1:1" ht="15" customHeight="1" x14ac:dyDescent="0.3">
      <c r="A2" s="4"/>
    </row>
    <row r="3" spans="1:1" ht="15" customHeight="1" x14ac:dyDescent="0.3">
      <c r="A3" s="5" t="s">
        <v>0</v>
      </c>
    </row>
    <row r="4" spans="1:1" ht="15" customHeight="1" x14ac:dyDescent="0.3">
      <c r="A4" s="4" t="s">
        <v>1</v>
      </c>
    </row>
    <row r="5" spans="1:1" ht="15" customHeight="1" x14ac:dyDescent="0.3">
      <c r="A5" s="4" t="s">
        <v>2</v>
      </c>
    </row>
    <row r="6" spans="1:1" ht="15" customHeight="1" x14ac:dyDescent="0.3">
      <c r="A6" s="4"/>
    </row>
    <row r="7" spans="1:1" ht="15" customHeight="1" x14ac:dyDescent="0.3">
      <c r="A7" s="5" t="s">
        <v>3</v>
      </c>
    </row>
    <row r="8" spans="1:1" ht="15" customHeight="1" x14ac:dyDescent="0.3">
      <c r="A8" s="4" t="s">
        <v>4</v>
      </c>
    </row>
    <row r="9" spans="1:1" ht="15" customHeight="1" x14ac:dyDescent="0.3">
      <c r="A9" s="4" t="s">
        <v>5</v>
      </c>
    </row>
    <row r="10" spans="1:1" ht="15" customHeight="1" x14ac:dyDescent="0.3">
      <c r="A10" s="4" t="s">
        <v>6</v>
      </c>
    </row>
    <row r="11" spans="1:1" ht="15" customHeight="1" x14ac:dyDescent="0.3">
      <c r="A11" s="5" t="s">
        <v>7</v>
      </c>
    </row>
    <row r="12" spans="1:1" ht="15" customHeight="1" x14ac:dyDescent="0.3">
      <c r="A12" s="4" t="s">
        <v>8</v>
      </c>
    </row>
    <row r="13" spans="1:1" ht="15" customHeight="1" x14ac:dyDescent="0.3"/>
    <row r="14" spans="1:1" ht="15" customHeight="1" x14ac:dyDescent="0.3">
      <c r="A14" s="3" t="s">
        <v>9</v>
      </c>
    </row>
    <row r="15" spans="1:1" ht="15" customHeight="1" x14ac:dyDescent="0.3">
      <c r="A15" s="3" t="s">
        <v>10</v>
      </c>
    </row>
    <row r="16" spans="1:1" ht="15" customHeight="1" x14ac:dyDescent="0.3">
      <c r="A16" s="3" t="s">
        <v>11</v>
      </c>
    </row>
    <row r="17" spans="1:1" ht="15" customHeight="1" x14ac:dyDescent="0.3">
      <c r="A17" s="3" t="s">
        <v>12</v>
      </c>
    </row>
    <row r="18" spans="1:1" ht="15" customHeight="1" x14ac:dyDescent="0.3">
      <c r="A18" s="3" t="s">
        <v>13</v>
      </c>
    </row>
    <row r="19" spans="1:1" ht="15" customHeight="1" x14ac:dyDescent="0.3">
      <c r="A19" s="3" t="s">
        <v>14</v>
      </c>
    </row>
    <row r="20" spans="1:1" ht="15" customHeight="1" x14ac:dyDescent="0.3">
      <c r="A20" s="3" t="s">
        <v>15</v>
      </c>
    </row>
    <row r="21" spans="1:1" ht="15" customHeight="1" x14ac:dyDescent="0.3">
      <c r="A21" s="3" t="s">
        <v>16</v>
      </c>
    </row>
    <row r="22" spans="1:1" ht="15" customHeight="1" x14ac:dyDescent="0.3">
      <c r="A22" s="3" t="s">
        <v>17</v>
      </c>
    </row>
    <row r="23" spans="1:1" ht="15" customHeight="1" x14ac:dyDescent="0.3">
      <c r="A23" s="4" t="s">
        <v>18</v>
      </c>
    </row>
    <row r="24" spans="1:1" ht="15" customHeight="1" x14ac:dyDescent="0.3">
      <c r="A24" s="4" t="s">
        <v>19</v>
      </c>
    </row>
    <row r="25" spans="1:1" ht="15" customHeight="1" x14ac:dyDescent="0.3">
      <c r="A25" s="4" t="s">
        <v>20</v>
      </c>
    </row>
    <row r="26" spans="1:1" ht="15" customHeight="1" x14ac:dyDescent="0.3">
      <c r="A26" s="4" t="s">
        <v>21</v>
      </c>
    </row>
    <row r="27" spans="1:1" ht="15" customHeight="1" x14ac:dyDescent="0.3">
      <c r="A27" s="4" t="s">
        <v>22</v>
      </c>
    </row>
    <row r="28" spans="1:1" ht="15" customHeight="1" x14ac:dyDescent="0.3">
      <c r="A28" s="4" t="s">
        <v>23</v>
      </c>
    </row>
    <row r="29" spans="1:1" ht="15" customHeight="1" x14ac:dyDescent="0.3">
      <c r="A29" s="5" t="s">
        <v>24</v>
      </c>
    </row>
    <row r="30" spans="1:1" ht="15" customHeight="1" x14ac:dyDescent="0.3">
      <c r="A30" s="4"/>
    </row>
    <row r="31" spans="1:1" ht="15" customHeight="1" x14ac:dyDescent="0.3">
      <c r="A31" s="4" t="s">
        <v>25</v>
      </c>
    </row>
    <row r="32" spans="1:1" ht="15" customHeight="1" x14ac:dyDescent="0.3">
      <c r="A32" s="4" t="s">
        <v>26</v>
      </c>
    </row>
    <row r="33" spans="1:1" ht="15" customHeight="1" x14ac:dyDescent="0.3">
      <c r="A33" s="4" t="s">
        <v>27</v>
      </c>
    </row>
    <row r="34" spans="1:1" ht="15" customHeight="1" x14ac:dyDescent="0.3">
      <c r="A34" s="4" t="s">
        <v>28</v>
      </c>
    </row>
    <row r="35" spans="1:1" ht="15" customHeight="1" x14ac:dyDescent="0.3">
      <c r="A35" s="4" t="s">
        <v>29</v>
      </c>
    </row>
    <row r="36" spans="1:1" ht="15" customHeight="1" x14ac:dyDescent="0.3">
      <c r="A36" s="4" t="s">
        <v>30</v>
      </c>
    </row>
    <row r="37" spans="1:1" ht="15" customHeight="1" x14ac:dyDescent="0.3">
      <c r="A37" s="4" t="s">
        <v>31</v>
      </c>
    </row>
    <row r="38" spans="1:1" ht="15" customHeight="1" x14ac:dyDescent="0.3">
      <c r="A38" s="5"/>
    </row>
    <row r="39" spans="1:1" ht="15" customHeight="1" x14ac:dyDescent="0.3">
      <c r="A39" s="4" t="s">
        <v>32</v>
      </c>
    </row>
    <row r="40" spans="1:1" ht="15" customHeight="1" x14ac:dyDescent="0.3">
      <c r="A40" s="4" t="s">
        <v>33</v>
      </c>
    </row>
    <row r="41" spans="1:1" ht="15" customHeight="1" x14ac:dyDescent="0.3">
      <c r="A41" s="4" t="s">
        <v>34</v>
      </c>
    </row>
    <row r="42" spans="1:1" ht="15" customHeight="1" x14ac:dyDescent="0.3">
      <c r="A42" s="4" t="s">
        <v>35</v>
      </c>
    </row>
    <row r="43" spans="1:1" ht="15" customHeight="1" x14ac:dyDescent="0.3">
      <c r="A43" s="4" t="s">
        <v>36</v>
      </c>
    </row>
    <row r="44" spans="1:1" ht="15" customHeight="1" x14ac:dyDescent="0.3">
      <c r="A44" s="4" t="s">
        <v>37</v>
      </c>
    </row>
    <row r="45" spans="1:1" ht="15" customHeight="1" x14ac:dyDescent="0.3">
      <c r="A45" s="4" t="s">
        <v>38</v>
      </c>
    </row>
    <row r="46" spans="1:1" ht="15" customHeight="1" x14ac:dyDescent="0.3">
      <c r="A46" s="4" t="s">
        <v>39</v>
      </c>
    </row>
    <row r="47" spans="1:1" ht="15" customHeight="1" x14ac:dyDescent="0.3">
      <c r="A47" s="4" t="s">
        <v>40</v>
      </c>
    </row>
    <row r="48" spans="1:1" ht="15" customHeight="1" x14ac:dyDescent="0.3">
      <c r="A48" s="4" t="s">
        <v>41</v>
      </c>
    </row>
    <row r="49" spans="1:1" ht="15" customHeight="1" x14ac:dyDescent="0.3">
      <c r="A49" s="4" t="s">
        <v>42</v>
      </c>
    </row>
    <row r="50" spans="1:1" ht="15" customHeight="1" x14ac:dyDescent="0.3">
      <c r="A50" s="4" t="s">
        <v>43</v>
      </c>
    </row>
    <row r="51" spans="1:1" ht="15" customHeight="1" x14ac:dyDescent="0.3">
      <c r="A51" s="4" t="s">
        <v>44</v>
      </c>
    </row>
    <row r="52" spans="1:1" ht="15" customHeight="1" x14ac:dyDescent="0.3">
      <c r="A52" s="4" t="s">
        <v>45</v>
      </c>
    </row>
    <row r="53" spans="1:1" ht="15" customHeight="1" x14ac:dyDescent="0.3">
      <c r="A53" s="4" t="s">
        <v>46</v>
      </c>
    </row>
    <row r="54" spans="1:1" ht="15" customHeight="1" x14ac:dyDescent="0.3">
      <c r="A54" s="4" t="s">
        <v>47</v>
      </c>
    </row>
    <row r="55" spans="1:1" ht="15" customHeight="1" x14ac:dyDescent="0.3">
      <c r="A55" s="4" t="s">
        <v>48</v>
      </c>
    </row>
    <row r="56" spans="1:1" ht="15" customHeight="1" x14ac:dyDescent="0.3">
      <c r="A56" s="4" t="s">
        <v>49</v>
      </c>
    </row>
    <row r="57" spans="1:1" x14ac:dyDescent="0.3">
      <c r="A57" s="4" t="s">
        <v>50</v>
      </c>
    </row>
    <row r="58" spans="1:1" x14ac:dyDescent="0.3">
      <c r="A58" s="4" t="s">
        <v>51</v>
      </c>
    </row>
    <row r="59" spans="1:1" x14ac:dyDescent="0.3">
      <c r="A59" s="4" t="s">
        <v>52</v>
      </c>
    </row>
    <row r="60" spans="1:1" x14ac:dyDescent="0.3">
      <c r="A60" s="4" t="s">
        <v>53</v>
      </c>
    </row>
    <row r="61" spans="1:1" x14ac:dyDescent="0.3">
      <c r="A61" s="4" t="s">
        <v>54</v>
      </c>
    </row>
    <row r="62" spans="1:1" x14ac:dyDescent="0.3">
      <c r="A62" s="4"/>
    </row>
    <row r="63" spans="1:1" x14ac:dyDescent="0.3">
      <c r="A63" s="4" t="s">
        <v>55</v>
      </c>
    </row>
    <row r="64" spans="1:1" x14ac:dyDescent="0.3">
      <c r="A64" s="4" t="s">
        <v>56</v>
      </c>
    </row>
    <row r="65" spans="1:1" x14ac:dyDescent="0.3">
      <c r="A65" s="4" t="s">
        <v>57</v>
      </c>
    </row>
    <row r="66" spans="1:1" x14ac:dyDescent="0.3">
      <c r="A66" s="4" t="s"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3"/>
  <sheetViews>
    <sheetView tabSelected="1" zoomScaleNormal="100" workbookViewId="0">
      <pane ySplit="1" topLeftCell="A2" activePane="bottomLeft" state="frozen"/>
      <selection sqref="A1:XFD1048576"/>
      <selection pane="bottomLeft" sqref="A1:XFD1048576"/>
    </sheetView>
  </sheetViews>
  <sheetFormatPr baseColWidth="10" defaultColWidth="8.6640625" defaultRowHeight="14.4" x14ac:dyDescent="0.3"/>
  <cols>
    <col min="1" max="1" width="10" style="3" customWidth="1"/>
    <col min="2" max="2" width="22.33203125" style="3" customWidth="1"/>
    <col min="3" max="3" width="43.88671875" style="3" customWidth="1"/>
    <col min="4" max="4" width="48" style="3" customWidth="1"/>
    <col min="5" max="5" width="16" style="3" customWidth="1"/>
    <col min="6" max="6" width="22.21875" style="3" customWidth="1"/>
    <col min="7" max="7" width="16" style="3" customWidth="1"/>
    <col min="8" max="8" width="66.5546875" style="3" customWidth="1"/>
    <col min="9" max="16384" width="8.6640625" style="3"/>
  </cols>
  <sheetData>
    <row r="1" spans="1:8" ht="23.25" customHeight="1" x14ac:dyDescent="0.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</row>
    <row r="2" spans="1:8" ht="15" customHeight="1" x14ac:dyDescent="0.3">
      <c r="A2" s="4" t="s">
        <v>67</v>
      </c>
      <c r="B2" s="4" t="s">
        <v>68</v>
      </c>
      <c r="C2" s="4" t="s">
        <v>69</v>
      </c>
      <c r="D2" s="4" t="s">
        <v>70</v>
      </c>
      <c r="E2" s="4" t="s">
        <v>71</v>
      </c>
      <c r="F2" s="4">
        <v>26</v>
      </c>
      <c r="G2" s="4">
        <v>1</v>
      </c>
      <c r="H2" s="4"/>
    </row>
    <row r="3" spans="1:8" ht="15" customHeight="1" x14ac:dyDescent="0.3">
      <c r="A3" s="4" t="s">
        <v>72</v>
      </c>
      <c r="B3" s="4" t="s">
        <v>68</v>
      </c>
      <c r="C3" s="4" t="s">
        <v>69</v>
      </c>
      <c r="D3" s="4" t="s">
        <v>73</v>
      </c>
      <c r="E3" s="4" t="s">
        <v>71</v>
      </c>
      <c r="F3" s="4">
        <v>53</v>
      </c>
      <c r="G3" s="4">
        <v>1</v>
      </c>
      <c r="H3" s="4"/>
    </row>
    <row r="4" spans="1:8" ht="15" customHeight="1" x14ac:dyDescent="0.3">
      <c r="A4" s="4" t="s">
        <v>74</v>
      </c>
      <c r="B4" s="4" t="s">
        <v>68</v>
      </c>
      <c r="C4" s="4" t="s">
        <v>69</v>
      </c>
      <c r="D4" s="4" t="s">
        <v>75</v>
      </c>
      <c r="E4" s="4" t="s">
        <v>71</v>
      </c>
      <c r="F4" s="4">
        <v>44</v>
      </c>
      <c r="G4" s="4">
        <v>0.8</v>
      </c>
      <c r="H4" s="4"/>
    </row>
    <row r="5" spans="1:8" ht="15" customHeight="1" x14ac:dyDescent="0.3">
      <c r="A5" s="4" t="s">
        <v>76</v>
      </c>
      <c r="B5" s="4" t="s">
        <v>68</v>
      </c>
      <c r="C5" s="4" t="s">
        <v>69</v>
      </c>
      <c r="D5" s="4" t="s">
        <v>77</v>
      </c>
      <c r="E5" s="4" t="s">
        <v>71</v>
      </c>
      <c r="F5" s="4">
        <v>64</v>
      </c>
      <c r="G5" s="4">
        <v>1.5</v>
      </c>
      <c r="H5" s="4"/>
    </row>
    <row r="6" spans="1:8" ht="15" customHeight="1" x14ac:dyDescent="0.3">
      <c r="A6" s="4" t="s">
        <v>78</v>
      </c>
      <c r="B6" s="4" t="s">
        <v>68</v>
      </c>
      <c r="C6" s="4" t="s">
        <v>69</v>
      </c>
      <c r="D6" s="4" t="s">
        <v>79</v>
      </c>
      <c r="E6" s="4" t="s">
        <v>71</v>
      </c>
      <c r="F6" s="4">
        <v>82</v>
      </c>
      <c r="G6" s="4">
        <v>1.5</v>
      </c>
      <c r="H6" s="4"/>
    </row>
    <row r="7" spans="1:8" ht="15" customHeight="1" x14ac:dyDescent="0.3">
      <c r="A7" s="4" t="s">
        <v>80</v>
      </c>
      <c r="B7" s="4" t="s">
        <v>68</v>
      </c>
      <c r="C7" s="4" t="s">
        <v>69</v>
      </c>
      <c r="D7" s="4" t="s">
        <v>81</v>
      </c>
      <c r="E7" s="4" t="s">
        <v>71</v>
      </c>
      <c r="F7" s="4">
        <v>94</v>
      </c>
      <c r="G7" s="4">
        <v>2.5</v>
      </c>
      <c r="H7" s="4"/>
    </row>
    <row r="8" spans="1:8" ht="15" customHeight="1" x14ac:dyDescent="0.3">
      <c r="A8" s="4" t="s">
        <v>82</v>
      </c>
      <c r="B8" s="4" t="s">
        <v>68</v>
      </c>
      <c r="C8" s="4" t="s">
        <v>69</v>
      </c>
      <c r="D8" s="4" t="s">
        <v>83</v>
      </c>
      <c r="E8" s="4" t="s">
        <v>71</v>
      </c>
      <c r="F8" s="4">
        <v>100</v>
      </c>
      <c r="G8" s="4">
        <v>4</v>
      </c>
      <c r="H8" s="4" t="s">
        <v>84</v>
      </c>
    </row>
    <row r="9" spans="1:8" ht="15" customHeight="1" x14ac:dyDescent="0.3">
      <c r="A9" s="4" t="s">
        <v>85</v>
      </c>
      <c r="B9" s="4" t="s">
        <v>68</v>
      </c>
      <c r="C9" s="4" t="s">
        <v>69</v>
      </c>
      <c r="D9" s="4" t="s">
        <v>86</v>
      </c>
      <c r="E9" s="4" t="s">
        <v>71</v>
      </c>
      <c r="F9" s="4">
        <v>424</v>
      </c>
      <c r="G9" s="4">
        <v>5.5</v>
      </c>
      <c r="H9" s="4"/>
    </row>
    <row r="10" spans="1:8" ht="15" customHeight="1" x14ac:dyDescent="0.3">
      <c r="A10" s="4" t="s">
        <v>87</v>
      </c>
      <c r="B10" s="4" t="s">
        <v>68</v>
      </c>
      <c r="C10" s="4" t="s">
        <v>69</v>
      </c>
      <c r="D10" s="4" t="s">
        <v>88</v>
      </c>
      <c r="E10" s="4" t="s">
        <v>71</v>
      </c>
      <c r="F10" s="4">
        <v>32</v>
      </c>
      <c r="G10" s="4">
        <v>1</v>
      </c>
      <c r="H10" s="4"/>
    </row>
    <row r="11" spans="1:8" ht="15" customHeight="1" x14ac:dyDescent="0.3">
      <c r="A11" s="4" t="s">
        <v>89</v>
      </c>
      <c r="B11" s="4" t="s">
        <v>68</v>
      </c>
      <c r="C11" s="4" t="s">
        <v>69</v>
      </c>
      <c r="D11" s="4" t="s">
        <v>90</v>
      </c>
      <c r="E11" s="4" t="s">
        <v>71</v>
      </c>
      <c r="F11" s="4">
        <v>38</v>
      </c>
      <c r="G11" s="4">
        <v>1.2</v>
      </c>
      <c r="H11" s="4"/>
    </row>
    <row r="12" spans="1:8" ht="15" customHeight="1" x14ac:dyDescent="0.3">
      <c r="A12" s="4" t="s">
        <v>91</v>
      </c>
      <c r="B12" s="4" t="s">
        <v>68</v>
      </c>
      <c r="C12" s="4" t="s">
        <v>69</v>
      </c>
      <c r="D12" s="4" t="s">
        <v>92</v>
      </c>
      <c r="E12" s="4" t="s">
        <v>71</v>
      </c>
      <c r="F12" s="4">
        <v>10</v>
      </c>
      <c r="G12" s="4">
        <v>0.3</v>
      </c>
      <c r="H12" s="4"/>
    </row>
    <row r="13" spans="1:8" ht="15" customHeight="1" x14ac:dyDescent="0.3">
      <c r="A13" s="4" t="s">
        <v>93</v>
      </c>
      <c r="B13" s="4" t="s">
        <v>68</v>
      </c>
      <c r="C13" s="4" t="s">
        <v>69</v>
      </c>
      <c r="D13" s="4" t="s">
        <v>94</v>
      </c>
      <c r="E13" s="4" t="s">
        <v>71</v>
      </c>
      <c r="F13" s="4">
        <v>22</v>
      </c>
      <c r="G13" s="4">
        <v>0.4</v>
      </c>
      <c r="H13" s="4"/>
    </row>
    <row r="14" spans="1:8" ht="15" customHeight="1" x14ac:dyDescent="0.3">
      <c r="A14" s="4" t="s">
        <v>95</v>
      </c>
      <c r="B14" s="4" t="s">
        <v>68</v>
      </c>
      <c r="C14" s="4" t="s">
        <v>69</v>
      </c>
      <c r="D14" s="4" t="s">
        <v>96</v>
      </c>
      <c r="E14" s="4" t="s">
        <v>71</v>
      </c>
      <c r="F14" s="4">
        <v>68</v>
      </c>
      <c r="G14" s="4">
        <v>1.5</v>
      </c>
      <c r="H14" s="4"/>
    </row>
    <row r="15" spans="1:8" ht="15" customHeight="1" x14ac:dyDescent="0.3">
      <c r="A15" s="4" t="s">
        <v>97</v>
      </c>
      <c r="B15" s="4" t="s">
        <v>68</v>
      </c>
      <c r="C15" s="4" t="s">
        <v>69</v>
      </c>
      <c r="D15" s="4" t="s">
        <v>98</v>
      </c>
      <c r="E15" s="4" t="s">
        <v>71</v>
      </c>
      <c r="F15" s="4">
        <v>99</v>
      </c>
      <c r="G15" s="4">
        <v>2</v>
      </c>
      <c r="H15" s="4"/>
    </row>
    <row r="16" spans="1:8" ht="15" customHeight="1" x14ac:dyDescent="0.3">
      <c r="A16" s="4" t="s">
        <v>99</v>
      </c>
      <c r="B16" s="4" t="s">
        <v>68</v>
      </c>
      <c r="C16" s="4" t="s">
        <v>69</v>
      </c>
      <c r="D16" s="4" t="s">
        <v>100</v>
      </c>
      <c r="E16" s="4" t="s">
        <v>71</v>
      </c>
      <c r="F16" s="4">
        <v>82</v>
      </c>
      <c r="G16" s="4">
        <v>1.5</v>
      </c>
      <c r="H16" s="4"/>
    </row>
    <row r="17" spans="1:8" ht="15" customHeight="1" x14ac:dyDescent="0.3">
      <c r="A17" s="4" t="s">
        <v>101</v>
      </c>
      <c r="B17" s="4" t="s">
        <v>68</v>
      </c>
      <c r="C17" s="4" t="s">
        <v>69</v>
      </c>
      <c r="D17" s="4" t="s">
        <v>102</v>
      </c>
      <c r="E17" s="4" t="s">
        <v>71</v>
      </c>
      <c r="F17" s="4">
        <v>123</v>
      </c>
      <c r="G17" s="4">
        <v>2</v>
      </c>
      <c r="H17" s="4"/>
    </row>
    <row r="18" spans="1:8" ht="15" customHeight="1" x14ac:dyDescent="0.3">
      <c r="A18" s="4" t="s">
        <v>103</v>
      </c>
      <c r="B18" s="4" t="s">
        <v>68</v>
      </c>
      <c r="C18" s="4" t="s">
        <v>69</v>
      </c>
      <c r="D18" s="4" t="s">
        <v>104</v>
      </c>
      <c r="E18" s="4" t="s">
        <v>71</v>
      </c>
      <c r="F18" s="4">
        <v>26</v>
      </c>
      <c r="G18" s="4">
        <v>0.5</v>
      </c>
      <c r="H18" s="4"/>
    </row>
    <row r="19" spans="1:8" ht="15" customHeight="1" x14ac:dyDescent="0.3">
      <c r="A19" s="4" t="s">
        <v>105</v>
      </c>
      <c r="B19" s="4" t="s">
        <v>68</v>
      </c>
      <c r="C19" s="4" t="s">
        <v>69</v>
      </c>
      <c r="D19" s="4" t="s">
        <v>106</v>
      </c>
      <c r="E19" s="4" t="s">
        <v>71</v>
      </c>
      <c r="F19" s="4">
        <v>28</v>
      </c>
      <c r="G19" s="4">
        <v>0.8</v>
      </c>
      <c r="H19" s="4"/>
    </row>
    <row r="20" spans="1:8" ht="15" customHeight="1" x14ac:dyDescent="0.3">
      <c r="A20" s="4" t="s">
        <v>107</v>
      </c>
      <c r="B20" s="4" t="s">
        <v>68</v>
      </c>
      <c r="C20" s="4" t="s">
        <v>69</v>
      </c>
      <c r="D20" s="4" t="s">
        <v>108</v>
      </c>
      <c r="E20" s="4" t="s">
        <v>71</v>
      </c>
      <c r="F20" s="4">
        <v>53</v>
      </c>
      <c r="G20" s="4">
        <v>1.2</v>
      </c>
      <c r="H20" s="4"/>
    </row>
    <row r="21" spans="1:8" ht="15" customHeight="1" x14ac:dyDescent="0.3">
      <c r="A21" s="4" t="s">
        <v>109</v>
      </c>
      <c r="B21" s="4" t="s">
        <v>68</v>
      </c>
      <c r="C21" s="4" t="s">
        <v>69</v>
      </c>
      <c r="D21" s="4" t="s">
        <v>110</v>
      </c>
      <c r="E21" s="4" t="s">
        <v>71</v>
      </c>
      <c r="F21" s="4">
        <v>73</v>
      </c>
      <c r="G21" s="4">
        <v>1.5</v>
      </c>
      <c r="H21" s="4"/>
    </row>
    <row r="22" spans="1:8" ht="15" customHeight="1" x14ac:dyDescent="0.3">
      <c r="A22" s="4" t="s">
        <v>111</v>
      </c>
      <c r="B22" s="4" t="s">
        <v>68</v>
      </c>
      <c r="C22" s="4" t="s">
        <v>69</v>
      </c>
      <c r="D22" s="4" t="s">
        <v>112</v>
      </c>
      <c r="E22" s="4" t="s">
        <v>71</v>
      </c>
      <c r="F22" s="4">
        <v>76</v>
      </c>
      <c r="G22" s="4">
        <v>2</v>
      </c>
      <c r="H22" s="4"/>
    </row>
    <row r="23" spans="1:8" ht="15" customHeight="1" x14ac:dyDescent="0.3">
      <c r="A23" s="4" t="s">
        <v>113</v>
      </c>
      <c r="B23" s="4" t="s">
        <v>68</v>
      </c>
      <c r="C23" s="4" t="s">
        <v>69</v>
      </c>
      <c r="D23" s="4" t="s">
        <v>114</v>
      </c>
      <c r="E23" s="4" t="s">
        <v>71</v>
      </c>
      <c r="F23" s="4">
        <v>111</v>
      </c>
      <c r="G23" s="4">
        <v>2.5</v>
      </c>
      <c r="H23" s="4"/>
    </row>
    <row r="24" spans="1:8" ht="15" customHeight="1" x14ac:dyDescent="0.3">
      <c r="A24" s="4" t="s">
        <v>115</v>
      </c>
      <c r="B24" s="4" t="s">
        <v>68</v>
      </c>
      <c r="C24" s="4" t="s">
        <v>69</v>
      </c>
      <c r="D24" s="4" t="s">
        <v>116</v>
      </c>
      <c r="E24" s="4" t="s">
        <v>71</v>
      </c>
      <c r="F24" s="4">
        <v>35</v>
      </c>
      <c r="G24" s="4">
        <v>1</v>
      </c>
      <c r="H24" s="4"/>
    </row>
    <row r="25" spans="1:8" ht="15" customHeight="1" x14ac:dyDescent="0.3">
      <c r="A25" s="4" t="s">
        <v>117</v>
      </c>
      <c r="B25" s="4" t="s">
        <v>68</v>
      </c>
      <c r="C25" s="4" t="s">
        <v>69</v>
      </c>
      <c r="D25" s="4" t="s">
        <v>118</v>
      </c>
      <c r="E25" s="4" t="s">
        <v>71</v>
      </c>
      <c r="F25" s="4">
        <v>21</v>
      </c>
      <c r="G25" s="4">
        <v>0.5</v>
      </c>
      <c r="H25" s="4"/>
    </row>
    <row r="26" spans="1:8" ht="15" customHeight="1" x14ac:dyDescent="0.3">
      <c r="A26" s="4" t="s">
        <v>119</v>
      </c>
      <c r="B26" s="4" t="s">
        <v>68</v>
      </c>
      <c r="C26" s="4" t="s">
        <v>69</v>
      </c>
      <c r="D26" s="4" t="s">
        <v>120</v>
      </c>
      <c r="E26" s="4" t="s">
        <v>71</v>
      </c>
      <c r="F26" s="4">
        <v>26</v>
      </c>
      <c r="G26" s="4">
        <v>0.8</v>
      </c>
      <c r="H26" s="4"/>
    </row>
    <row r="27" spans="1:8" ht="15" customHeight="1" x14ac:dyDescent="0.3">
      <c r="A27" s="4" t="s">
        <v>121</v>
      </c>
      <c r="B27" s="4" t="s">
        <v>68</v>
      </c>
      <c r="C27" s="4" t="s">
        <v>69</v>
      </c>
      <c r="D27" s="4" t="s">
        <v>122</v>
      </c>
      <c r="E27" s="4" t="s">
        <v>71</v>
      </c>
      <c r="F27" s="4">
        <v>220</v>
      </c>
      <c r="G27" s="4">
        <v>3.5</v>
      </c>
      <c r="H27" s="4"/>
    </row>
    <row r="28" spans="1:8" ht="15" customHeight="1" x14ac:dyDescent="0.3">
      <c r="A28" s="4" t="s">
        <v>123</v>
      </c>
      <c r="B28" s="4" t="s">
        <v>68</v>
      </c>
      <c r="C28" s="4" t="s">
        <v>69</v>
      </c>
      <c r="D28" s="4" t="s">
        <v>124</v>
      </c>
      <c r="E28" s="4" t="s">
        <v>71</v>
      </c>
      <c r="F28" s="4">
        <v>240</v>
      </c>
      <c r="G28" s="4">
        <v>3.5</v>
      </c>
      <c r="H28" s="4"/>
    </row>
    <row r="29" spans="1:8" ht="15" customHeight="1" x14ac:dyDescent="0.3">
      <c r="A29" s="4" t="s">
        <v>125</v>
      </c>
      <c r="B29" s="4" t="s">
        <v>68</v>
      </c>
      <c r="C29" s="4" t="s">
        <v>69</v>
      </c>
      <c r="D29" s="4" t="s">
        <v>126</v>
      </c>
      <c r="E29" s="4" t="s">
        <v>71</v>
      </c>
      <c r="F29" s="4">
        <v>47</v>
      </c>
      <c r="G29" s="4">
        <v>1.3</v>
      </c>
      <c r="H29" s="4"/>
    </row>
    <row r="30" spans="1:8" ht="15" customHeight="1" x14ac:dyDescent="0.3">
      <c r="A30" s="4" t="s">
        <v>127</v>
      </c>
      <c r="B30" s="4" t="s">
        <v>68</v>
      </c>
      <c r="C30" s="4" t="s">
        <v>69</v>
      </c>
      <c r="D30" s="4" t="s">
        <v>128</v>
      </c>
      <c r="E30" s="4" t="s">
        <v>71</v>
      </c>
      <c r="F30" s="4">
        <v>41</v>
      </c>
      <c r="G30" s="4">
        <v>1</v>
      </c>
      <c r="H30" s="4"/>
    </row>
    <row r="31" spans="1:8" ht="15" customHeight="1" x14ac:dyDescent="0.3">
      <c r="A31" s="4" t="s">
        <v>129</v>
      </c>
      <c r="B31" s="4" t="s">
        <v>68</v>
      </c>
      <c r="C31" s="4" t="s">
        <v>69</v>
      </c>
      <c r="D31" s="4" t="s">
        <v>130</v>
      </c>
      <c r="E31" s="4" t="s">
        <v>71</v>
      </c>
      <c r="F31" s="4">
        <v>38</v>
      </c>
      <c r="G31" s="4">
        <v>1</v>
      </c>
      <c r="H31" s="4"/>
    </row>
    <row r="32" spans="1:8" ht="15" customHeight="1" x14ac:dyDescent="0.3">
      <c r="A32" s="4" t="s">
        <v>131</v>
      </c>
      <c r="B32" s="4" t="s">
        <v>68</v>
      </c>
      <c r="C32" s="4" t="s">
        <v>69</v>
      </c>
      <c r="D32" s="4" t="s">
        <v>132</v>
      </c>
      <c r="E32" s="4" t="s">
        <v>71</v>
      </c>
      <c r="F32" s="4">
        <v>25</v>
      </c>
      <c r="G32" s="4">
        <v>0.8</v>
      </c>
      <c r="H32" s="4"/>
    </row>
    <row r="33" spans="1:8" ht="15" customHeight="1" x14ac:dyDescent="0.3">
      <c r="A33" s="4" t="s">
        <v>133</v>
      </c>
      <c r="B33" s="4" t="s">
        <v>68</v>
      </c>
      <c r="C33" s="4" t="s">
        <v>69</v>
      </c>
      <c r="D33" s="4" t="s">
        <v>134</v>
      </c>
      <c r="E33" s="4" t="s">
        <v>71</v>
      </c>
      <c r="F33" s="4">
        <v>32</v>
      </c>
      <c r="G33" s="4">
        <v>1</v>
      </c>
      <c r="H33" s="4"/>
    </row>
    <row r="34" spans="1:8" ht="15" customHeight="1" x14ac:dyDescent="0.3">
      <c r="A34" s="4" t="s">
        <v>135</v>
      </c>
      <c r="B34" s="4" t="s">
        <v>68</v>
      </c>
      <c r="C34" s="4" t="s">
        <v>69</v>
      </c>
      <c r="D34" s="4" t="s">
        <v>136</v>
      </c>
      <c r="E34" s="4" t="s">
        <v>71</v>
      </c>
      <c r="F34" s="4">
        <v>28</v>
      </c>
      <c r="G34" s="4">
        <v>1</v>
      </c>
      <c r="H34" s="4"/>
    </row>
    <row r="35" spans="1:8" ht="15" customHeight="1" x14ac:dyDescent="0.3">
      <c r="A35" s="4" t="s">
        <v>137</v>
      </c>
      <c r="B35" s="4" t="s">
        <v>68</v>
      </c>
      <c r="C35" s="4" t="s">
        <v>69</v>
      </c>
      <c r="D35" s="4" t="s">
        <v>138</v>
      </c>
      <c r="E35" s="4" t="s">
        <v>71</v>
      </c>
      <c r="F35" s="4">
        <v>41</v>
      </c>
      <c r="G35" s="4">
        <v>1.5</v>
      </c>
      <c r="H35" s="4"/>
    </row>
    <row r="36" spans="1:8" ht="15" customHeight="1" x14ac:dyDescent="0.3">
      <c r="A36" s="4" t="s">
        <v>139</v>
      </c>
      <c r="B36" s="4" t="s">
        <v>68</v>
      </c>
      <c r="C36" s="4" t="s">
        <v>69</v>
      </c>
      <c r="D36" s="4" t="s">
        <v>140</v>
      </c>
      <c r="E36" s="4" t="s">
        <v>71</v>
      </c>
      <c r="F36" s="4">
        <v>38</v>
      </c>
      <c r="G36" s="4">
        <v>1.2</v>
      </c>
      <c r="H36" s="4"/>
    </row>
    <row r="37" spans="1:8" ht="15" customHeight="1" x14ac:dyDescent="0.3">
      <c r="A37" s="4" t="s">
        <v>141</v>
      </c>
      <c r="B37" s="4" t="s">
        <v>68</v>
      </c>
      <c r="C37" s="4" t="s">
        <v>69</v>
      </c>
      <c r="D37" s="4" t="s">
        <v>142</v>
      </c>
      <c r="E37" s="4" t="s">
        <v>71</v>
      </c>
      <c r="F37" s="4">
        <v>111</v>
      </c>
      <c r="G37" s="4">
        <v>2.5</v>
      </c>
      <c r="H37" s="4"/>
    </row>
    <row r="38" spans="1:8" ht="15" customHeight="1" x14ac:dyDescent="0.3">
      <c r="A38" s="4" t="s">
        <v>143</v>
      </c>
      <c r="B38" s="4" t="s">
        <v>68</v>
      </c>
      <c r="C38" s="4" t="s">
        <v>69</v>
      </c>
      <c r="D38" s="4" t="s">
        <v>144</v>
      </c>
      <c r="E38" s="4" t="s">
        <v>71</v>
      </c>
      <c r="F38" s="4">
        <v>44</v>
      </c>
      <c r="G38" s="4">
        <v>1</v>
      </c>
      <c r="H38" s="4"/>
    </row>
    <row r="39" spans="1:8" ht="15" customHeight="1" x14ac:dyDescent="0.3">
      <c r="A39" s="4" t="s">
        <v>145</v>
      </c>
      <c r="B39" s="4" t="s">
        <v>68</v>
      </c>
      <c r="C39" s="4" t="s">
        <v>69</v>
      </c>
      <c r="D39" s="4" t="s">
        <v>146</v>
      </c>
      <c r="E39" s="4" t="s">
        <v>71</v>
      </c>
      <c r="F39" s="4">
        <v>32</v>
      </c>
      <c r="G39" s="4">
        <v>1</v>
      </c>
      <c r="H39" s="4"/>
    </row>
    <row r="40" spans="1:8" ht="15" customHeight="1" x14ac:dyDescent="0.3">
      <c r="A40" s="4" t="s">
        <v>147</v>
      </c>
      <c r="B40" s="4" t="s">
        <v>68</v>
      </c>
      <c r="C40" s="4" t="s">
        <v>69</v>
      </c>
      <c r="D40" s="4" t="s">
        <v>148</v>
      </c>
      <c r="E40" s="4" t="s">
        <v>71</v>
      </c>
      <c r="F40" s="4">
        <v>28</v>
      </c>
      <c r="G40" s="4">
        <v>0.8</v>
      </c>
      <c r="H40" s="4"/>
    </row>
    <row r="41" spans="1:8" ht="15" customHeight="1" x14ac:dyDescent="0.3">
      <c r="A41" s="4" t="s">
        <v>149</v>
      </c>
      <c r="B41" s="4" t="s">
        <v>68</v>
      </c>
      <c r="C41" s="4" t="s">
        <v>69</v>
      </c>
      <c r="D41" s="4" t="s">
        <v>150</v>
      </c>
      <c r="E41" s="4" t="s">
        <v>71</v>
      </c>
      <c r="F41" s="4">
        <v>53</v>
      </c>
      <c r="G41" s="4">
        <v>1.5</v>
      </c>
      <c r="H41" s="4"/>
    </row>
    <row r="42" spans="1:8" ht="15" customHeight="1" x14ac:dyDescent="0.3">
      <c r="A42" s="4" t="s">
        <v>151</v>
      </c>
      <c r="B42" s="4" t="s">
        <v>68</v>
      </c>
      <c r="C42" s="4" t="s">
        <v>69</v>
      </c>
      <c r="D42" s="4" t="s">
        <v>152</v>
      </c>
      <c r="E42" s="4" t="s">
        <v>71</v>
      </c>
      <c r="F42" s="4">
        <v>47</v>
      </c>
      <c r="G42" s="4">
        <v>1.5</v>
      </c>
      <c r="H42" s="4"/>
    </row>
    <row r="43" spans="1:8" ht="15" customHeight="1" x14ac:dyDescent="0.3">
      <c r="A43" s="4" t="s">
        <v>153</v>
      </c>
      <c r="B43" s="4" t="s">
        <v>68</v>
      </c>
      <c r="C43" s="4" t="s">
        <v>154</v>
      </c>
      <c r="D43" s="4" t="s">
        <v>155</v>
      </c>
      <c r="E43" s="4" t="s">
        <v>154</v>
      </c>
      <c r="F43" s="4">
        <v>13</v>
      </c>
      <c r="G43" s="4">
        <v>2.21</v>
      </c>
      <c r="H43" s="4"/>
    </row>
    <row r="44" spans="1:8" ht="15" customHeight="1" x14ac:dyDescent="0.3">
      <c r="A44" s="4" t="s">
        <v>156</v>
      </c>
      <c r="B44" s="4" t="s">
        <v>68</v>
      </c>
      <c r="C44" s="4" t="s">
        <v>154</v>
      </c>
      <c r="D44" s="4" t="s">
        <v>157</v>
      </c>
      <c r="E44" s="4" t="s">
        <v>154</v>
      </c>
      <c r="F44" s="4">
        <v>14</v>
      </c>
      <c r="G44" s="4">
        <v>2.4900000000000002</v>
      </c>
      <c r="H44" s="4"/>
    </row>
    <row r="45" spans="1:8" ht="15" customHeight="1" x14ac:dyDescent="0.3">
      <c r="A45" s="4" t="s">
        <v>158</v>
      </c>
      <c r="B45" s="4" t="s">
        <v>68</v>
      </c>
      <c r="C45" s="4" t="s">
        <v>154</v>
      </c>
      <c r="D45" s="4" t="s">
        <v>159</v>
      </c>
      <c r="E45" s="4" t="s">
        <v>154</v>
      </c>
      <c r="F45" s="4">
        <v>18</v>
      </c>
      <c r="G45" s="4">
        <v>2.76</v>
      </c>
      <c r="H45" s="4"/>
    </row>
    <row r="46" spans="1:8" ht="15" customHeight="1" x14ac:dyDescent="0.3">
      <c r="A46" s="4" t="s">
        <v>160</v>
      </c>
      <c r="B46" s="4" t="s">
        <v>68</v>
      </c>
      <c r="C46" s="4" t="s">
        <v>154</v>
      </c>
      <c r="D46" s="4" t="s">
        <v>161</v>
      </c>
      <c r="E46" s="4" t="s">
        <v>154</v>
      </c>
      <c r="F46" s="4">
        <v>22</v>
      </c>
      <c r="G46" s="4">
        <v>3.04</v>
      </c>
      <c r="H46" s="4"/>
    </row>
    <row r="47" spans="1:8" ht="15" customHeight="1" x14ac:dyDescent="0.3">
      <c r="A47" s="4" t="s">
        <v>162</v>
      </c>
      <c r="B47" s="4" t="s">
        <v>68</v>
      </c>
      <c r="C47" s="4" t="s">
        <v>154</v>
      </c>
      <c r="D47" s="4" t="s">
        <v>163</v>
      </c>
      <c r="E47" s="4" t="s">
        <v>154</v>
      </c>
      <c r="F47" s="4">
        <v>36</v>
      </c>
      <c r="G47" s="4">
        <v>4.42</v>
      </c>
      <c r="H47" s="4"/>
    </row>
    <row r="48" spans="1:8" ht="15" customHeight="1" x14ac:dyDescent="0.3">
      <c r="A48" s="4" t="s">
        <v>164</v>
      </c>
      <c r="B48" s="4" t="s">
        <v>68</v>
      </c>
      <c r="C48" s="4" t="s">
        <v>154</v>
      </c>
      <c r="D48" s="4" t="s">
        <v>165</v>
      </c>
      <c r="E48" s="4" t="s">
        <v>154</v>
      </c>
      <c r="F48" s="4">
        <v>52</v>
      </c>
      <c r="G48" s="4">
        <v>6.08</v>
      </c>
      <c r="H48" s="4"/>
    </row>
    <row r="49" spans="1:8" ht="15" customHeight="1" x14ac:dyDescent="0.3">
      <c r="A49" s="4" t="s">
        <v>166</v>
      </c>
      <c r="B49" s="4" t="s">
        <v>68</v>
      </c>
      <c r="C49" s="4" t="s">
        <v>154</v>
      </c>
      <c r="D49" s="4" t="s">
        <v>167</v>
      </c>
      <c r="E49" s="4" t="s">
        <v>154</v>
      </c>
      <c r="F49" s="4">
        <v>67</v>
      </c>
      <c r="G49" s="4">
        <v>7.73</v>
      </c>
      <c r="H49" s="4"/>
    </row>
    <row r="50" spans="1:8" ht="15" customHeight="1" x14ac:dyDescent="0.3">
      <c r="A50" s="4" t="s">
        <v>168</v>
      </c>
      <c r="B50" s="4" t="s">
        <v>68</v>
      </c>
      <c r="C50" s="4" t="s">
        <v>154</v>
      </c>
      <c r="D50" s="4" t="s">
        <v>169</v>
      </c>
      <c r="E50" s="4" t="s">
        <v>154</v>
      </c>
      <c r="F50" s="4">
        <v>82</v>
      </c>
      <c r="G50" s="4">
        <v>8.84</v>
      </c>
      <c r="H50" s="4"/>
    </row>
    <row r="51" spans="1:8" ht="15" customHeight="1" x14ac:dyDescent="0.3">
      <c r="A51" s="4" t="s">
        <v>170</v>
      </c>
      <c r="B51" s="4" t="s">
        <v>68</v>
      </c>
      <c r="C51" s="4" t="s">
        <v>154</v>
      </c>
      <c r="D51" s="4" t="s">
        <v>171</v>
      </c>
      <c r="E51" s="4" t="s">
        <v>154</v>
      </c>
      <c r="F51" s="4">
        <v>102</v>
      </c>
      <c r="G51" s="4">
        <v>9.94</v>
      </c>
      <c r="H51" s="4"/>
    </row>
    <row r="52" spans="1:8" ht="15" customHeight="1" x14ac:dyDescent="0.3">
      <c r="A52" s="4" t="s">
        <v>172</v>
      </c>
      <c r="B52" s="4" t="s">
        <v>68</v>
      </c>
      <c r="C52" s="4" t="s">
        <v>154</v>
      </c>
      <c r="D52" s="4" t="s">
        <v>173</v>
      </c>
      <c r="E52" s="4" t="s">
        <v>154</v>
      </c>
      <c r="F52" s="4">
        <v>28</v>
      </c>
      <c r="G52" s="4">
        <v>3.6</v>
      </c>
      <c r="H52" s="4"/>
    </row>
    <row r="53" spans="1:8" ht="15" customHeight="1" x14ac:dyDescent="0.3">
      <c r="A53" s="4" t="s">
        <v>174</v>
      </c>
      <c r="B53" s="4" t="s">
        <v>68</v>
      </c>
      <c r="C53" s="4" t="s">
        <v>154</v>
      </c>
      <c r="D53" s="4" t="s">
        <v>175</v>
      </c>
      <c r="E53" s="4" t="s">
        <v>154</v>
      </c>
      <c r="F53" s="4">
        <v>6</v>
      </c>
      <c r="G53" s="4">
        <v>0.83</v>
      </c>
      <c r="H53" s="4"/>
    </row>
    <row r="54" spans="1:8" ht="15" customHeight="1" x14ac:dyDescent="0.3">
      <c r="A54" s="4" t="s">
        <v>176</v>
      </c>
      <c r="B54" s="4" t="s">
        <v>68</v>
      </c>
      <c r="C54" s="4" t="s">
        <v>154</v>
      </c>
      <c r="D54" s="4" t="s">
        <v>177</v>
      </c>
      <c r="E54" s="4" t="s">
        <v>154</v>
      </c>
      <c r="F54" s="4">
        <v>5</v>
      </c>
      <c r="G54" s="4">
        <v>0.44</v>
      </c>
      <c r="H54" s="4"/>
    </row>
    <row r="55" spans="1:8" ht="15" customHeight="1" x14ac:dyDescent="0.3">
      <c r="A55" s="4" t="s">
        <v>178</v>
      </c>
      <c r="B55" s="4" t="s">
        <v>68</v>
      </c>
      <c r="C55" s="4" t="s">
        <v>154</v>
      </c>
      <c r="D55" s="4" t="s">
        <v>179</v>
      </c>
      <c r="E55" s="4" t="s">
        <v>154</v>
      </c>
      <c r="F55" s="4">
        <v>54</v>
      </c>
      <c r="G55" s="4">
        <v>4.97</v>
      </c>
      <c r="H55" s="4"/>
    </row>
    <row r="56" spans="1:8" ht="15" customHeight="1" x14ac:dyDescent="0.3">
      <c r="A56" s="4" t="s">
        <v>180</v>
      </c>
      <c r="B56" s="4" t="s">
        <v>68</v>
      </c>
      <c r="C56" s="4" t="s">
        <v>154</v>
      </c>
      <c r="D56" s="4" t="s">
        <v>181</v>
      </c>
      <c r="E56" s="4" t="s">
        <v>154</v>
      </c>
      <c r="F56" s="4">
        <v>5</v>
      </c>
      <c r="G56" s="4">
        <v>0.17</v>
      </c>
      <c r="H56" s="4"/>
    </row>
    <row r="57" spans="1:8" ht="15" customHeight="1" x14ac:dyDescent="0.3">
      <c r="A57" s="4" t="s">
        <v>182</v>
      </c>
      <c r="B57" s="4" t="s">
        <v>68</v>
      </c>
      <c r="C57" s="4" t="s">
        <v>154</v>
      </c>
      <c r="D57" s="4" t="s">
        <v>183</v>
      </c>
      <c r="E57" s="4" t="s">
        <v>154</v>
      </c>
      <c r="F57" s="4">
        <v>5</v>
      </c>
      <c r="G57" s="4">
        <v>0.83</v>
      </c>
      <c r="H57" s="4"/>
    </row>
    <row r="58" spans="1:8" ht="15" customHeight="1" x14ac:dyDescent="0.3">
      <c r="A58" s="4" t="s">
        <v>184</v>
      </c>
      <c r="B58" s="4" t="s">
        <v>68</v>
      </c>
      <c r="C58" s="4" t="s">
        <v>154</v>
      </c>
      <c r="D58" s="4" t="s">
        <v>185</v>
      </c>
      <c r="E58" s="4" t="s">
        <v>154</v>
      </c>
      <c r="F58" s="4">
        <v>5</v>
      </c>
      <c r="G58" s="4">
        <v>1.1000000000000001</v>
      </c>
      <c r="H58" s="4"/>
    </row>
    <row r="59" spans="1:8" ht="15" customHeight="1" x14ac:dyDescent="0.3">
      <c r="A59" s="4" t="s">
        <v>186</v>
      </c>
      <c r="B59" s="4" t="s">
        <v>68</v>
      </c>
      <c r="C59" s="4" t="s">
        <v>154</v>
      </c>
      <c r="D59" s="4" t="s">
        <v>187</v>
      </c>
      <c r="E59" s="4" t="s">
        <v>154</v>
      </c>
      <c r="F59" s="4">
        <v>6</v>
      </c>
      <c r="G59" s="4">
        <v>1.38</v>
      </c>
      <c r="H59" s="4"/>
    </row>
    <row r="60" spans="1:8" ht="15" customHeight="1" x14ac:dyDescent="0.3">
      <c r="A60" s="4" t="s">
        <v>188</v>
      </c>
      <c r="B60" s="4" t="s">
        <v>68</v>
      </c>
      <c r="C60" s="4" t="s">
        <v>154</v>
      </c>
      <c r="D60" s="4" t="s">
        <v>189</v>
      </c>
      <c r="E60" s="4" t="s">
        <v>154</v>
      </c>
      <c r="F60" s="4">
        <v>5</v>
      </c>
      <c r="G60" s="4">
        <v>0.99</v>
      </c>
      <c r="H60" s="4"/>
    </row>
    <row r="61" spans="1:8" ht="15" customHeight="1" x14ac:dyDescent="0.3">
      <c r="A61" s="4" t="s">
        <v>190</v>
      </c>
      <c r="B61" s="4" t="s">
        <v>68</v>
      </c>
      <c r="C61" s="4" t="s">
        <v>154</v>
      </c>
      <c r="D61" s="4" t="s">
        <v>191</v>
      </c>
      <c r="E61" s="4" t="s">
        <v>154</v>
      </c>
      <c r="F61" s="4">
        <v>5</v>
      </c>
      <c r="G61" s="4">
        <v>0.66</v>
      </c>
      <c r="H61" s="4"/>
    </row>
    <row r="62" spans="1:8" ht="15" customHeight="1" x14ac:dyDescent="0.3">
      <c r="A62" s="4" t="s">
        <v>192</v>
      </c>
      <c r="B62" s="4" t="s">
        <v>68</v>
      </c>
      <c r="C62" s="4" t="s">
        <v>154</v>
      </c>
      <c r="D62" s="4" t="s">
        <v>193</v>
      </c>
      <c r="E62" s="4" t="s">
        <v>154</v>
      </c>
      <c r="F62" s="4">
        <v>5</v>
      </c>
      <c r="G62" s="4">
        <v>0.55000000000000004</v>
      </c>
      <c r="H62" s="4"/>
    </row>
    <row r="63" spans="1:8" ht="15" customHeight="1" x14ac:dyDescent="0.3">
      <c r="A63" s="4" t="s">
        <v>194</v>
      </c>
      <c r="B63" s="4" t="s">
        <v>195</v>
      </c>
      <c r="C63" s="4" t="s">
        <v>196</v>
      </c>
      <c r="D63" s="4" t="s">
        <v>197</v>
      </c>
      <c r="E63" s="4" t="s">
        <v>71</v>
      </c>
      <c r="F63" s="4">
        <v>26</v>
      </c>
      <c r="G63" s="4">
        <v>1</v>
      </c>
      <c r="H63" s="4"/>
    </row>
    <row r="64" spans="1:8" ht="15" customHeight="1" x14ac:dyDescent="0.3">
      <c r="A64" s="4" t="s">
        <v>198</v>
      </c>
      <c r="B64" s="4" t="s">
        <v>195</v>
      </c>
      <c r="C64" s="4" t="s">
        <v>196</v>
      </c>
      <c r="D64" s="4" t="s">
        <v>199</v>
      </c>
      <c r="E64" s="4" t="s">
        <v>71</v>
      </c>
      <c r="F64" s="4">
        <v>64</v>
      </c>
      <c r="G64" s="4">
        <v>1.5</v>
      </c>
      <c r="H64" s="4"/>
    </row>
    <row r="65" spans="1:8" ht="15" customHeight="1" x14ac:dyDescent="0.3">
      <c r="A65" s="4" t="s">
        <v>200</v>
      </c>
      <c r="B65" s="4" t="s">
        <v>195</v>
      </c>
      <c r="C65" s="4" t="s">
        <v>196</v>
      </c>
      <c r="D65" s="4" t="s">
        <v>201</v>
      </c>
      <c r="E65" s="4" t="s">
        <v>71</v>
      </c>
      <c r="F65" s="4">
        <v>41</v>
      </c>
      <c r="G65" s="4">
        <v>1</v>
      </c>
      <c r="H65" s="4"/>
    </row>
    <row r="66" spans="1:8" ht="15" customHeight="1" x14ac:dyDescent="0.3">
      <c r="A66" s="4" t="s">
        <v>202</v>
      </c>
      <c r="B66" s="4" t="s">
        <v>195</v>
      </c>
      <c r="C66" s="4" t="s">
        <v>196</v>
      </c>
      <c r="D66" s="4" t="s">
        <v>203</v>
      </c>
      <c r="E66" s="4" t="s">
        <v>71</v>
      </c>
      <c r="F66" s="4">
        <v>47</v>
      </c>
      <c r="G66" s="4">
        <v>1</v>
      </c>
      <c r="H66" s="4"/>
    </row>
    <row r="67" spans="1:8" ht="15" customHeight="1" x14ac:dyDescent="0.3">
      <c r="A67" s="4" t="s">
        <v>204</v>
      </c>
      <c r="B67" s="4" t="s">
        <v>195</v>
      </c>
      <c r="C67" s="4" t="s">
        <v>196</v>
      </c>
      <c r="D67" s="4" t="s">
        <v>205</v>
      </c>
      <c r="E67" s="4" t="s">
        <v>71</v>
      </c>
      <c r="F67" s="4">
        <v>38</v>
      </c>
      <c r="G67" s="4">
        <v>1.2</v>
      </c>
      <c r="H67" s="4"/>
    </row>
    <row r="68" spans="1:8" ht="15" customHeight="1" x14ac:dyDescent="0.3">
      <c r="A68" s="4" t="s">
        <v>206</v>
      </c>
      <c r="B68" s="4" t="s">
        <v>195</v>
      </c>
      <c r="C68" s="4" t="s">
        <v>196</v>
      </c>
      <c r="D68" s="4" t="s">
        <v>207</v>
      </c>
      <c r="E68" s="4" t="s">
        <v>71</v>
      </c>
      <c r="F68" s="4">
        <v>53</v>
      </c>
      <c r="G68" s="4">
        <v>1.8</v>
      </c>
      <c r="H68" s="4"/>
    </row>
    <row r="69" spans="1:8" ht="15" customHeight="1" x14ac:dyDescent="0.3">
      <c r="A69" s="4" t="s">
        <v>208</v>
      </c>
      <c r="B69" s="4" t="s">
        <v>195</v>
      </c>
      <c r="C69" s="4" t="s">
        <v>196</v>
      </c>
      <c r="D69" s="4" t="s">
        <v>209</v>
      </c>
      <c r="E69" s="4" t="s">
        <v>71</v>
      </c>
      <c r="F69" s="4">
        <v>365</v>
      </c>
      <c r="G69" s="4">
        <v>5</v>
      </c>
      <c r="H69" s="4"/>
    </row>
    <row r="70" spans="1:8" ht="15" customHeight="1" x14ac:dyDescent="0.3">
      <c r="A70" s="4" t="s">
        <v>210</v>
      </c>
      <c r="B70" s="4" t="s">
        <v>195</v>
      </c>
      <c r="C70" s="4" t="s">
        <v>196</v>
      </c>
      <c r="D70" s="4" t="s">
        <v>211</v>
      </c>
      <c r="E70" s="4" t="s">
        <v>71</v>
      </c>
      <c r="F70" s="4">
        <v>73</v>
      </c>
      <c r="G70" s="4">
        <v>2</v>
      </c>
      <c r="H70" s="4"/>
    </row>
    <row r="71" spans="1:8" ht="15" customHeight="1" x14ac:dyDescent="0.3">
      <c r="A71" s="4" t="s">
        <v>212</v>
      </c>
      <c r="B71" s="4" t="s">
        <v>195</v>
      </c>
      <c r="C71" s="4" t="s">
        <v>196</v>
      </c>
      <c r="D71" s="4" t="s">
        <v>213</v>
      </c>
      <c r="E71" s="4" t="s">
        <v>71</v>
      </c>
      <c r="F71" s="4">
        <v>94</v>
      </c>
      <c r="G71" s="4">
        <v>2</v>
      </c>
      <c r="H71" s="4"/>
    </row>
    <row r="72" spans="1:8" ht="15" customHeight="1" x14ac:dyDescent="0.3">
      <c r="A72" s="4" t="s">
        <v>214</v>
      </c>
      <c r="B72" s="4" t="s">
        <v>195</v>
      </c>
      <c r="C72" s="4" t="s">
        <v>196</v>
      </c>
      <c r="D72" s="4" t="s">
        <v>215</v>
      </c>
      <c r="E72" s="4" t="s">
        <v>71</v>
      </c>
      <c r="F72" s="4">
        <v>111</v>
      </c>
      <c r="G72" s="4">
        <v>2.5</v>
      </c>
      <c r="H72" s="4"/>
    </row>
    <row r="73" spans="1:8" ht="15" customHeight="1" x14ac:dyDescent="0.3">
      <c r="A73" s="4" t="s">
        <v>216</v>
      </c>
      <c r="B73" s="4" t="s">
        <v>195</v>
      </c>
      <c r="C73" s="4" t="s">
        <v>196</v>
      </c>
      <c r="D73" s="4" t="s">
        <v>217</v>
      </c>
      <c r="E73" s="4" t="s">
        <v>71</v>
      </c>
      <c r="F73" s="4">
        <v>44</v>
      </c>
      <c r="G73" s="4">
        <v>1.2</v>
      </c>
      <c r="H73" s="4"/>
    </row>
    <row r="74" spans="1:8" ht="15" customHeight="1" x14ac:dyDescent="0.3">
      <c r="A74" s="4" t="s">
        <v>218</v>
      </c>
      <c r="B74" s="4" t="s">
        <v>195</v>
      </c>
      <c r="C74" s="4" t="s">
        <v>196</v>
      </c>
      <c r="D74" s="4" t="s">
        <v>219</v>
      </c>
      <c r="E74" s="4" t="s">
        <v>71</v>
      </c>
      <c r="F74" s="4">
        <v>64</v>
      </c>
      <c r="G74" s="4">
        <v>1.5</v>
      </c>
      <c r="H74" s="4"/>
    </row>
    <row r="75" spans="1:8" ht="15" customHeight="1" x14ac:dyDescent="0.3">
      <c r="A75" s="4" t="s">
        <v>220</v>
      </c>
      <c r="B75" s="4" t="s">
        <v>195</v>
      </c>
      <c r="C75" s="4" t="s">
        <v>196</v>
      </c>
      <c r="D75" s="4" t="s">
        <v>221</v>
      </c>
      <c r="E75" s="4" t="s">
        <v>71</v>
      </c>
      <c r="F75" s="4">
        <v>32</v>
      </c>
      <c r="G75" s="4">
        <v>0.8</v>
      </c>
      <c r="H75" s="4"/>
    </row>
    <row r="76" spans="1:8" ht="15" customHeight="1" x14ac:dyDescent="0.3">
      <c r="A76" s="4" t="s">
        <v>222</v>
      </c>
      <c r="B76" s="4" t="s">
        <v>195</v>
      </c>
      <c r="C76" s="4" t="s">
        <v>196</v>
      </c>
      <c r="D76" s="4" t="s">
        <v>223</v>
      </c>
      <c r="E76" s="4" t="s">
        <v>71</v>
      </c>
      <c r="F76" s="4">
        <v>47</v>
      </c>
      <c r="G76" s="4">
        <v>1</v>
      </c>
      <c r="H76" s="4"/>
    </row>
    <row r="77" spans="1:8" ht="15" customHeight="1" x14ac:dyDescent="0.3">
      <c r="A77" s="4" t="s">
        <v>224</v>
      </c>
      <c r="B77" s="4" t="s">
        <v>195</v>
      </c>
      <c r="C77" s="4" t="s">
        <v>196</v>
      </c>
      <c r="D77" s="4" t="s">
        <v>225</v>
      </c>
      <c r="E77" s="4" t="s">
        <v>71</v>
      </c>
      <c r="F77" s="4">
        <v>38</v>
      </c>
      <c r="G77" s="4">
        <v>1</v>
      </c>
      <c r="H77" s="4"/>
    </row>
    <row r="78" spans="1:8" ht="15" customHeight="1" x14ac:dyDescent="0.3">
      <c r="A78" s="4" t="s">
        <v>226</v>
      </c>
      <c r="B78" s="4" t="s">
        <v>195</v>
      </c>
      <c r="C78" s="4" t="s">
        <v>196</v>
      </c>
      <c r="D78" s="4" t="s">
        <v>227</v>
      </c>
      <c r="E78" s="4" t="s">
        <v>71</v>
      </c>
      <c r="F78" s="4">
        <v>111</v>
      </c>
      <c r="G78" s="4">
        <v>2</v>
      </c>
      <c r="H78" s="4"/>
    </row>
    <row r="79" spans="1:8" ht="15" customHeight="1" x14ac:dyDescent="0.3">
      <c r="A79" s="4" t="s">
        <v>228</v>
      </c>
      <c r="B79" s="4" t="s">
        <v>195</v>
      </c>
      <c r="C79" s="4" t="s">
        <v>196</v>
      </c>
      <c r="D79" s="4" t="s">
        <v>229</v>
      </c>
      <c r="E79" s="4" t="s">
        <v>71</v>
      </c>
      <c r="F79" s="4">
        <v>53</v>
      </c>
      <c r="G79" s="4">
        <v>1.5</v>
      </c>
      <c r="H79" s="4"/>
    </row>
    <row r="80" spans="1:8" ht="15" customHeight="1" x14ac:dyDescent="0.3">
      <c r="A80" s="4" t="s">
        <v>230</v>
      </c>
      <c r="B80" s="4" t="s">
        <v>195</v>
      </c>
      <c r="C80" s="4" t="s">
        <v>196</v>
      </c>
      <c r="D80" s="4" t="s">
        <v>231</v>
      </c>
      <c r="E80" s="4" t="s">
        <v>71</v>
      </c>
      <c r="F80" s="4">
        <v>18</v>
      </c>
      <c r="G80" s="4">
        <v>0.7</v>
      </c>
      <c r="H80" s="4"/>
    </row>
    <row r="81" spans="1:8" ht="15" customHeight="1" x14ac:dyDescent="0.3">
      <c r="A81" s="4" t="s">
        <v>232</v>
      </c>
      <c r="B81" s="4" t="s">
        <v>195</v>
      </c>
      <c r="C81" s="4" t="s">
        <v>196</v>
      </c>
      <c r="D81" s="4" t="s">
        <v>233</v>
      </c>
      <c r="E81" s="4" t="s">
        <v>71</v>
      </c>
      <c r="F81" s="4">
        <v>26</v>
      </c>
      <c r="G81" s="4">
        <v>0.8</v>
      </c>
      <c r="H81" s="4"/>
    </row>
    <row r="82" spans="1:8" ht="15" customHeight="1" x14ac:dyDescent="0.3">
      <c r="A82" s="4" t="s">
        <v>234</v>
      </c>
      <c r="B82" s="4" t="s">
        <v>195</v>
      </c>
      <c r="C82" s="4" t="s">
        <v>196</v>
      </c>
      <c r="D82" s="4" t="s">
        <v>235</v>
      </c>
      <c r="E82" s="4" t="s">
        <v>71</v>
      </c>
      <c r="F82" s="4">
        <v>32</v>
      </c>
      <c r="G82" s="4">
        <v>1</v>
      </c>
      <c r="H82" s="4"/>
    </row>
    <row r="83" spans="1:8" ht="15" customHeight="1" x14ac:dyDescent="0.3">
      <c r="A83" s="4" t="s">
        <v>236</v>
      </c>
      <c r="B83" s="4" t="s">
        <v>195</v>
      </c>
      <c r="C83" s="4" t="s">
        <v>196</v>
      </c>
      <c r="D83" s="4" t="s">
        <v>237</v>
      </c>
      <c r="E83" s="4" t="s">
        <v>71</v>
      </c>
      <c r="F83" s="4">
        <v>47</v>
      </c>
      <c r="G83" s="4">
        <v>1.2</v>
      </c>
      <c r="H83" s="4"/>
    </row>
    <row r="84" spans="1:8" ht="15" customHeight="1" x14ac:dyDescent="0.3">
      <c r="A84" s="4" t="s">
        <v>238</v>
      </c>
      <c r="B84" s="4" t="s">
        <v>195</v>
      </c>
      <c r="C84" s="4" t="s">
        <v>196</v>
      </c>
      <c r="D84" s="4" t="s">
        <v>239</v>
      </c>
      <c r="E84" s="4" t="s">
        <v>71</v>
      </c>
      <c r="F84" s="4">
        <v>322</v>
      </c>
      <c r="G84" s="4">
        <v>4.5</v>
      </c>
      <c r="H84" s="4"/>
    </row>
    <row r="85" spans="1:8" ht="15" customHeight="1" x14ac:dyDescent="0.3">
      <c r="A85" s="4" t="s">
        <v>240</v>
      </c>
      <c r="B85" s="4" t="s">
        <v>195</v>
      </c>
      <c r="C85" s="4" t="s">
        <v>196</v>
      </c>
      <c r="D85" s="4" t="s">
        <v>241</v>
      </c>
      <c r="E85" s="4" t="s">
        <v>71</v>
      </c>
      <c r="F85" s="4">
        <v>64</v>
      </c>
      <c r="G85" s="4">
        <v>1.8</v>
      </c>
      <c r="H85" s="4"/>
    </row>
    <row r="86" spans="1:8" ht="15" customHeight="1" x14ac:dyDescent="0.3">
      <c r="A86" s="4" t="s">
        <v>242</v>
      </c>
      <c r="B86" s="4" t="s">
        <v>195</v>
      </c>
      <c r="C86" s="4" t="s">
        <v>196</v>
      </c>
      <c r="D86" s="4" t="s">
        <v>243</v>
      </c>
      <c r="E86" s="4" t="s">
        <v>71</v>
      </c>
      <c r="F86" s="4">
        <v>99</v>
      </c>
      <c r="G86" s="4">
        <v>2</v>
      </c>
      <c r="H86" s="4"/>
    </row>
    <row r="87" spans="1:8" ht="15" customHeight="1" x14ac:dyDescent="0.3">
      <c r="A87" s="4" t="s">
        <v>244</v>
      </c>
      <c r="B87" s="4" t="s">
        <v>195</v>
      </c>
      <c r="C87" s="4" t="s">
        <v>196</v>
      </c>
      <c r="D87" s="4" t="s">
        <v>245</v>
      </c>
      <c r="E87" s="4" t="s">
        <v>71</v>
      </c>
      <c r="F87" s="4">
        <v>140</v>
      </c>
      <c r="G87" s="4">
        <v>2.5</v>
      </c>
      <c r="H87" s="4"/>
    </row>
    <row r="88" spans="1:8" ht="15" customHeight="1" x14ac:dyDescent="0.3">
      <c r="A88" s="4" t="s">
        <v>246</v>
      </c>
      <c r="B88" s="4" t="s">
        <v>195</v>
      </c>
      <c r="C88" s="4" t="s">
        <v>196</v>
      </c>
      <c r="D88" s="4" t="s">
        <v>247</v>
      </c>
      <c r="E88" s="4" t="s">
        <v>71</v>
      </c>
      <c r="F88" s="4">
        <v>26</v>
      </c>
      <c r="G88" s="4">
        <v>0.8</v>
      </c>
      <c r="H88" s="4"/>
    </row>
    <row r="89" spans="1:8" ht="15" customHeight="1" x14ac:dyDescent="0.3">
      <c r="A89" s="4" t="s">
        <v>248</v>
      </c>
      <c r="B89" s="4" t="s">
        <v>195</v>
      </c>
      <c r="C89" s="4" t="s">
        <v>196</v>
      </c>
      <c r="D89" s="4" t="s">
        <v>249</v>
      </c>
      <c r="E89" s="4" t="s">
        <v>71</v>
      </c>
      <c r="F89" s="4">
        <v>58</v>
      </c>
      <c r="G89" s="4">
        <v>1.8</v>
      </c>
      <c r="H89" s="4"/>
    </row>
    <row r="90" spans="1:8" ht="15" customHeight="1" x14ac:dyDescent="0.3">
      <c r="A90" s="4" t="s">
        <v>250</v>
      </c>
      <c r="B90" s="4" t="s">
        <v>195</v>
      </c>
      <c r="C90" s="4" t="s">
        <v>196</v>
      </c>
      <c r="D90" s="4" t="s">
        <v>251</v>
      </c>
      <c r="E90" s="4" t="s">
        <v>71</v>
      </c>
      <c r="F90" s="4">
        <v>38</v>
      </c>
      <c r="G90" s="4">
        <v>1.5</v>
      </c>
      <c r="H90" s="4"/>
    </row>
    <row r="91" spans="1:8" ht="15" customHeight="1" x14ac:dyDescent="0.3">
      <c r="A91" s="4" t="s">
        <v>252</v>
      </c>
      <c r="B91" s="4" t="s">
        <v>195</v>
      </c>
      <c r="C91" s="4" t="s">
        <v>196</v>
      </c>
      <c r="D91" s="4" t="s">
        <v>253</v>
      </c>
      <c r="E91" s="4" t="s">
        <v>71</v>
      </c>
      <c r="F91" s="4">
        <v>82</v>
      </c>
      <c r="G91" s="4">
        <v>2</v>
      </c>
      <c r="H91" s="4"/>
    </row>
    <row r="92" spans="1:8" ht="15" customHeight="1" x14ac:dyDescent="0.3">
      <c r="A92" s="4" t="s">
        <v>254</v>
      </c>
      <c r="B92" s="4" t="s">
        <v>195</v>
      </c>
      <c r="C92" s="4" t="s">
        <v>196</v>
      </c>
      <c r="D92" s="4" t="s">
        <v>255</v>
      </c>
      <c r="E92" s="4" t="s">
        <v>71</v>
      </c>
      <c r="F92" s="4">
        <v>56</v>
      </c>
      <c r="G92" s="4">
        <v>1.8</v>
      </c>
      <c r="H92" s="4"/>
    </row>
    <row r="93" spans="1:8" ht="15" customHeight="1" x14ac:dyDescent="0.3">
      <c r="A93" s="4" t="s">
        <v>256</v>
      </c>
      <c r="B93" s="4" t="s">
        <v>195</v>
      </c>
      <c r="C93" s="4" t="s">
        <v>196</v>
      </c>
      <c r="D93" s="4" t="s">
        <v>257</v>
      </c>
      <c r="E93" s="4" t="s">
        <v>71</v>
      </c>
      <c r="F93" s="4">
        <v>44</v>
      </c>
      <c r="G93" s="4">
        <v>1.2</v>
      </c>
      <c r="H93" s="4"/>
    </row>
    <row r="94" spans="1:8" ht="15" customHeight="1" x14ac:dyDescent="0.3">
      <c r="A94" s="4" t="s">
        <v>258</v>
      </c>
      <c r="B94" s="4" t="s">
        <v>195</v>
      </c>
      <c r="C94" s="4" t="s">
        <v>196</v>
      </c>
      <c r="D94" s="4" t="s">
        <v>259</v>
      </c>
      <c r="E94" s="4" t="s">
        <v>71</v>
      </c>
      <c r="F94" s="4">
        <v>26</v>
      </c>
      <c r="G94" s="4">
        <v>0.8</v>
      </c>
      <c r="H94" s="4"/>
    </row>
    <row r="95" spans="1:8" ht="15" customHeight="1" x14ac:dyDescent="0.3">
      <c r="A95" s="4" t="s">
        <v>260</v>
      </c>
      <c r="B95" s="4" t="s">
        <v>195</v>
      </c>
      <c r="C95" s="4" t="s">
        <v>196</v>
      </c>
      <c r="D95" s="4" t="s">
        <v>261</v>
      </c>
      <c r="E95" s="4" t="s">
        <v>71</v>
      </c>
      <c r="F95" s="4">
        <v>111</v>
      </c>
      <c r="G95" s="4">
        <v>3</v>
      </c>
      <c r="H95" s="4"/>
    </row>
    <row r="96" spans="1:8" ht="15" customHeight="1" x14ac:dyDescent="0.3">
      <c r="A96" s="4" t="s">
        <v>262</v>
      </c>
      <c r="B96" s="4" t="s">
        <v>195</v>
      </c>
      <c r="C96" s="4" t="s">
        <v>196</v>
      </c>
      <c r="D96" s="4" t="s">
        <v>263</v>
      </c>
      <c r="E96" s="4" t="s">
        <v>71</v>
      </c>
      <c r="F96" s="4">
        <v>76</v>
      </c>
      <c r="G96" s="4">
        <v>1.8</v>
      </c>
      <c r="H96" s="4"/>
    </row>
    <row r="97" spans="1:8" ht="15" customHeight="1" x14ac:dyDescent="0.3">
      <c r="A97" s="4" t="s">
        <v>264</v>
      </c>
      <c r="B97" s="4" t="s">
        <v>195</v>
      </c>
      <c r="C97" s="4" t="s">
        <v>196</v>
      </c>
      <c r="D97" s="4" t="s">
        <v>265</v>
      </c>
      <c r="E97" s="4" t="s">
        <v>71</v>
      </c>
      <c r="F97" s="4">
        <v>287</v>
      </c>
      <c r="G97" s="4">
        <v>4</v>
      </c>
      <c r="H97" s="4"/>
    </row>
    <row r="98" spans="1:8" ht="15" customHeight="1" x14ac:dyDescent="0.3">
      <c r="A98" s="4" t="s">
        <v>266</v>
      </c>
      <c r="B98" s="4" t="s">
        <v>195</v>
      </c>
      <c r="C98" s="4" t="s">
        <v>154</v>
      </c>
      <c r="D98" s="4" t="s">
        <v>267</v>
      </c>
      <c r="E98" s="4" t="s">
        <v>154</v>
      </c>
      <c r="F98" s="4">
        <v>54</v>
      </c>
      <c r="G98" s="4">
        <v>5.52</v>
      </c>
      <c r="H98" s="4"/>
    </row>
    <row r="99" spans="1:8" ht="15" customHeight="1" x14ac:dyDescent="0.3">
      <c r="A99" s="4" t="s">
        <v>268</v>
      </c>
      <c r="B99" s="4" t="s">
        <v>195</v>
      </c>
      <c r="C99" s="4" t="s">
        <v>154</v>
      </c>
      <c r="D99" s="4" t="s">
        <v>269</v>
      </c>
      <c r="E99" s="4" t="s">
        <v>154</v>
      </c>
      <c r="F99" s="4">
        <v>70</v>
      </c>
      <c r="G99" s="4">
        <v>7.18</v>
      </c>
      <c r="H99" s="4"/>
    </row>
    <row r="100" spans="1:8" ht="15" customHeight="1" x14ac:dyDescent="0.3">
      <c r="A100" s="4" t="s">
        <v>270</v>
      </c>
      <c r="B100" s="4" t="s">
        <v>195</v>
      </c>
      <c r="C100" s="4" t="s">
        <v>154</v>
      </c>
      <c r="D100" s="4" t="s">
        <v>271</v>
      </c>
      <c r="E100" s="4" t="s">
        <v>154</v>
      </c>
      <c r="F100" s="4">
        <v>66</v>
      </c>
      <c r="G100" s="4">
        <v>6.63</v>
      </c>
      <c r="H100" s="4"/>
    </row>
    <row r="101" spans="1:8" ht="15" customHeight="1" x14ac:dyDescent="0.3">
      <c r="A101" s="4" t="s">
        <v>272</v>
      </c>
      <c r="B101" s="4" t="s">
        <v>195</v>
      </c>
      <c r="C101" s="4" t="s">
        <v>154</v>
      </c>
      <c r="D101" s="4" t="s">
        <v>273</v>
      </c>
      <c r="E101" s="4" t="s">
        <v>154</v>
      </c>
      <c r="F101" s="4">
        <v>76</v>
      </c>
      <c r="G101" s="4">
        <v>7.18</v>
      </c>
      <c r="H101" s="4"/>
    </row>
    <row r="102" spans="1:8" ht="15" customHeight="1" x14ac:dyDescent="0.3">
      <c r="A102" s="4" t="s">
        <v>274</v>
      </c>
      <c r="B102" s="4" t="s">
        <v>195</v>
      </c>
      <c r="C102" s="4" t="s">
        <v>154</v>
      </c>
      <c r="D102" s="4" t="s">
        <v>275</v>
      </c>
      <c r="E102" s="4" t="s">
        <v>154</v>
      </c>
      <c r="F102" s="4">
        <v>62</v>
      </c>
      <c r="G102" s="4">
        <v>6.08</v>
      </c>
      <c r="H102" s="4"/>
    </row>
    <row r="103" spans="1:8" ht="15" customHeight="1" x14ac:dyDescent="0.3">
      <c r="A103" s="4" t="s">
        <v>276</v>
      </c>
      <c r="B103" s="4" t="s">
        <v>195</v>
      </c>
      <c r="C103" s="4" t="s">
        <v>154</v>
      </c>
      <c r="D103" s="4" t="s">
        <v>277</v>
      </c>
      <c r="E103" s="4" t="s">
        <v>154</v>
      </c>
      <c r="F103" s="4">
        <v>132</v>
      </c>
      <c r="G103" s="4">
        <v>9.94</v>
      </c>
      <c r="H103" s="4"/>
    </row>
    <row r="104" spans="1:8" ht="15" customHeight="1" x14ac:dyDescent="0.3">
      <c r="A104" s="4" t="s">
        <v>278</v>
      </c>
      <c r="B104" s="4" t="s">
        <v>195</v>
      </c>
      <c r="C104" s="4" t="s">
        <v>154</v>
      </c>
      <c r="D104" s="4" t="s">
        <v>279</v>
      </c>
      <c r="E104" s="4" t="s">
        <v>154</v>
      </c>
      <c r="F104" s="4">
        <v>224</v>
      </c>
      <c r="G104" s="4">
        <v>15.47</v>
      </c>
      <c r="H104" s="4"/>
    </row>
    <row r="105" spans="1:8" ht="15" customHeight="1" x14ac:dyDescent="0.3">
      <c r="A105" s="4" t="s">
        <v>280</v>
      </c>
      <c r="B105" s="4" t="s">
        <v>195</v>
      </c>
      <c r="C105" s="4" t="s">
        <v>154</v>
      </c>
      <c r="D105" s="4" t="s">
        <v>281</v>
      </c>
      <c r="E105" s="4" t="s">
        <v>154</v>
      </c>
      <c r="F105" s="4">
        <v>74</v>
      </c>
      <c r="G105" s="4">
        <v>6.63</v>
      </c>
      <c r="H105" s="4"/>
    </row>
    <row r="106" spans="1:8" ht="15" customHeight="1" x14ac:dyDescent="0.3">
      <c r="A106" s="4" t="s">
        <v>282</v>
      </c>
      <c r="B106" s="4" t="s">
        <v>195</v>
      </c>
      <c r="C106" s="4" t="s">
        <v>154</v>
      </c>
      <c r="D106" s="4" t="s">
        <v>283</v>
      </c>
      <c r="E106" s="4" t="s">
        <v>154</v>
      </c>
      <c r="F106" s="4">
        <v>51</v>
      </c>
      <c r="G106" s="4">
        <v>4.97</v>
      </c>
      <c r="H106" s="4"/>
    </row>
    <row r="107" spans="1:8" ht="15" customHeight="1" x14ac:dyDescent="0.3">
      <c r="A107" s="4" t="s">
        <v>284</v>
      </c>
      <c r="B107" s="4" t="s">
        <v>195</v>
      </c>
      <c r="C107" s="4" t="s">
        <v>154</v>
      </c>
      <c r="D107" s="4" t="s">
        <v>285</v>
      </c>
      <c r="E107" s="4" t="s">
        <v>154</v>
      </c>
      <c r="F107" s="4">
        <v>8</v>
      </c>
      <c r="G107" s="4">
        <v>1.38</v>
      </c>
      <c r="H107" s="4"/>
    </row>
    <row r="108" spans="1:8" ht="15" customHeight="1" x14ac:dyDescent="0.3">
      <c r="A108" s="4" t="s">
        <v>286</v>
      </c>
      <c r="B108" s="4" t="s">
        <v>195</v>
      </c>
      <c r="C108" s="4" t="s">
        <v>154</v>
      </c>
      <c r="D108" s="4" t="s">
        <v>287</v>
      </c>
      <c r="E108" s="4" t="s">
        <v>154</v>
      </c>
      <c r="F108" s="4">
        <v>10</v>
      </c>
      <c r="G108" s="4">
        <v>1.66</v>
      </c>
      <c r="H108" s="4"/>
    </row>
    <row r="109" spans="1:8" ht="15" customHeight="1" x14ac:dyDescent="0.3">
      <c r="A109" s="4" t="s">
        <v>288</v>
      </c>
      <c r="B109" s="4" t="s">
        <v>195</v>
      </c>
      <c r="C109" s="4" t="s">
        <v>154</v>
      </c>
      <c r="D109" s="4" t="s">
        <v>289</v>
      </c>
      <c r="E109" s="4" t="s">
        <v>154</v>
      </c>
      <c r="F109" s="4">
        <v>13</v>
      </c>
      <c r="G109" s="4">
        <v>1.93</v>
      </c>
      <c r="H109" s="4"/>
    </row>
    <row r="110" spans="1:8" ht="15" customHeight="1" x14ac:dyDescent="0.3">
      <c r="A110" s="4" t="s">
        <v>290</v>
      </c>
      <c r="B110" s="4" t="s">
        <v>195</v>
      </c>
      <c r="C110" s="4" t="s">
        <v>154</v>
      </c>
      <c r="D110" s="4" t="s">
        <v>291</v>
      </c>
      <c r="E110" s="4" t="s">
        <v>154</v>
      </c>
      <c r="F110" s="4">
        <v>36</v>
      </c>
      <c r="G110" s="4">
        <v>3.87</v>
      </c>
      <c r="H110" s="4"/>
    </row>
    <row r="111" spans="1:8" ht="15" customHeight="1" x14ac:dyDescent="0.3">
      <c r="A111" s="4" t="s">
        <v>292</v>
      </c>
      <c r="B111" s="4" t="s">
        <v>195</v>
      </c>
      <c r="C111" s="4" t="s">
        <v>154</v>
      </c>
      <c r="D111" s="4" t="s">
        <v>293</v>
      </c>
      <c r="E111" s="4" t="s">
        <v>154</v>
      </c>
      <c r="F111" s="4">
        <v>5</v>
      </c>
      <c r="G111" s="4">
        <v>0.83</v>
      </c>
      <c r="H111" s="4"/>
    </row>
    <row r="112" spans="1:8" ht="15" customHeight="1" x14ac:dyDescent="0.3">
      <c r="A112" s="4" t="s">
        <v>294</v>
      </c>
      <c r="B112" s="4" t="s">
        <v>195</v>
      </c>
      <c r="C112" s="4" t="s">
        <v>154</v>
      </c>
      <c r="D112" s="4" t="s">
        <v>295</v>
      </c>
      <c r="E112" s="4" t="s">
        <v>154</v>
      </c>
      <c r="F112" s="4">
        <v>6</v>
      </c>
      <c r="G112" s="4">
        <v>1.1000000000000001</v>
      </c>
      <c r="H112" s="4"/>
    </row>
    <row r="113" spans="1:8" ht="15" customHeight="1" x14ac:dyDescent="0.3">
      <c r="A113" s="4" t="s">
        <v>296</v>
      </c>
      <c r="B113" s="4" t="s">
        <v>195</v>
      </c>
      <c r="C113" s="4" t="s">
        <v>154</v>
      </c>
      <c r="D113" s="4" t="s">
        <v>297</v>
      </c>
      <c r="E113" s="4" t="s">
        <v>154</v>
      </c>
      <c r="F113" s="4">
        <v>5</v>
      </c>
      <c r="G113" s="4">
        <v>0.22</v>
      </c>
      <c r="H113" s="4"/>
    </row>
    <row r="114" spans="1:8" ht="15" customHeight="1" x14ac:dyDescent="0.3">
      <c r="A114" s="4" t="s">
        <v>298</v>
      </c>
      <c r="B114" s="4" t="s">
        <v>195</v>
      </c>
      <c r="C114" s="4" t="s">
        <v>154</v>
      </c>
      <c r="D114" s="4" t="s">
        <v>299</v>
      </c>
      <c r="E114" s="4" t="s">
        <v>154</v>
      </c>
      <c r="F114" s="4">
        <v>5</v>
      </c>
      <c r="G114" s="4">
        <v>0.66</v>
      </c>
      <c r="H114" s="4"/>
    </row>
    <row r="115" spans="1:8" ht="15" customHeight="1" x14ac:dyDescent="0.3">
      <c r="A115" s="4" t="s">
        <v>300</v>
      </c>
      <c r="B115" s="4" t="s">
        <v>195</v>
      </c>
      <c r="C115" s="4" t="s">
        <v>154</v>
      </c>
      <c r="D115" s="4" t="s">
        <v>301</v>
      </c>
      <c r="E115" s="4" t="s">
        <v>154</v>
      </c>
      <c r="F115" s="4">
        <v>16</v>
      </c>
      <c r="G115" s="4">
        <v>2.4900000000000002</v>
      </c>
      <c r="H115" s="4"/>
    </row>
    <row r="116" spans="1:8" ht="15" customHeight="1" x14ac:dyDescent="0.3">
      <c r="A116" s="4" t="s">
        <v>302</v>
      </c>
      <c r="B116" s="4" t="s">
        <v>195</v>
      </c>
      <c r="C116" s="4" t="s">
        <v>154</v>
      </c>
      <c r="D116" s="4" t="s">
        <v>303</v>
      </c>
      <c r="E116" s="4" t="s">
        <v>154</v>
      </c>
      <c r="F116" s="4">
        <v>5</v>
      </c>
      <c r="G116" s="4">
        <v>0.28000000000000003</v>
      </c>
      <c r="H116" s="4"/>
    </row>
    <row r="117" spans="1:8" ht="15" customHeight="1" x14ac:dyDescent="0.3">
      <c r="A117" s="4" t="s">
        <v>304</v>
      </c>
      <c r="B117" s="4" t="s">
        <v>195</v>
      </c>
      <c r="C117" s="4" t="s">
        <v>154</v>
      </c>
      <c r="D117" s="4" t="s">
        <v>305</v>
      </c>
      <c r="E117" s="4" t="s">
        <v>154</v>
      </c>
      <c r="F117" s="4">
        <v>5</v>
      </c>
      <c r="G117" s="4">
        <v>0.83</v>
      </c>
      <c r="H117" s="4"/>
    </row>
    <row r="118" spans="1:8" ht="15" customHeight="1" x14ac:dyDescent="0.3">
      <c r="A118" s="4" t="s">
        <v>306</v>
      </c>
      <c r="B118" s="4" t="s">
        <v>195</v>
      </c>
      <c r="C118" s="4" t="s">
        <v>154</v>
      </c>
      <c r="D118" s="4" t="s">
        <v>307</v>
      </c>
      <c r="E118" s="4" t="s">
        <v>154</v>
      </c>
      <c r="F118" s="4">
        <v>6</v>
      </c>
      <c r="G118" s="4">
        <v>1.38</v>
      </c>
      <c r="H118" s="4"/>
    </row>
    <row r="119" spans="1:8" ht="15" customHeight="1" x14ac:dyDescent="0.3">
      <c r="A119" s="4" t="s">
        <v>308</v>
      </c>
      <c r="B119" s="4" t="s">
        <v>195</v>
      </c>
      <c r="C119" s="4" t="s">
        <v>154</v>
      </c>
      <c r="D119" s="4" t="s">
        <v>309</v>
      </c>
      <c r="E119" s="4" t="s">
        <v>154</v>
      </c>
      <c r="F119" s="4">
        <v>6</v>
      </c>
      <c r="G119" s="4">
        <v>1.1000000000000001</v>
      </c>
      <c r="H119" s="4"/>
    </row>
    <row r="120" spans="1:8" ht="15" customHeight="1" x14ac:dyDescent="0.3">
      <c r="A120" s="4" t="s">
        <v>310</v>
      </c>
      <c r="B120" s="4" t="s">
        <v>195</v>
      </c>
      <c r="C120" s="4" t="s">
        <v>154</v>
      </c>
      <c r="D120" s="4" t="s">
        <v>311</v>
      </c>
      <c r="E120" s="4" t="s">
        <v>154</v>
      </c>
      <c r="F120" s="4">
        <v>5</v>
      </c>
      <c r="G120" s="4">
        <v>0.66</v>
      </c>
      <c r="H120" s="4"/>
    </row>
    <row r="121" spans="1:8" ht="15" customHeight="1" x14ac:dyDescent="0.3">
      <c r="A121" s="4" t="s">
        <v>312</v>
      </c>
      <c r="B121" s="4" t="s">
        <v>195</v>
      </c>
      <c r="C121" s="4" t="s">
        <v>154</v>
      </c>
      <c r="D121" s="4" t="s">
        <v>313</v>
      </c>
      <c r="E121" s="4" t="s">
        <v>154</v>
      </c>
      <c r="F121" s="4">
        <v>47</v>
      </c>
      <c r="G121" s="4">
        <v>4.42</v>
      </c>
      <c r="H121" s="4"/>
    </row>
    <row r="122" spans="1:8" ht="15" customHeight="1" x14ac:dyDescent="0.3">
      <c r="A122" s="4" t="s">
        <v>314</v>
      </c>
      <c r="B122" s="4" t="s">
        <v>195</v>
      </c>
      <c r="C122" s="4" t="s">
        <v>154</v>
      </c>
      <c r="D122" s="4" t="s">
        <v>315</v>
      </c>
      <c r="E122" s="4" t="s">
        <v>154</v>
      </c>
      <c r="F122" s="4">
        <v>38</v>
      </c>
      <c r="G122" s="4">
        <v>3.87</v>
      </c>
      <c r="H122" s="4"/>
    </row>
    <row r="123" spans="1:8" ht="15" customHeight="1" x14ac:dyDescent="0.3">
      <c r="A123" s="4" t="s">
        <v>316</v>
      </c>
      <c r="B123" s="4" t="s">
        <v>317</v>
      </c>
      <c r="C123" s="4" t="s">
        <v>318</v>
      </c>
      <c r="D123" s="4" t="s">
        <v>319</v>
      </c>
      <c r="E123" s="4" t="s">
        <v>71</v>
      </c>
      <c r="F123" s="4">
        <v>53</v>
      </c>
      <c r="G123" s="4">
        <v>1.5</v>
      </c>
      <c r="H123" s="4"/>
    </row>
    <row r="124" spans="1:8" ht="15" customHeight="1" x14ac:dyDescent="0.3">
      <c r="A124" s="4" t="s">
        <v>320</v>
      </c>
      <c r="B124" s="4" t="s">
        <v>317</v>
      </c>
      <c r="C124" s="4" t="s">
        <v>318</v>
      </c>
      <c r="D124" s="4" t="s">
        <v>321</v>
      </c>
      <c r="E124" s="4" t="s">
        <v>71</v>
      </c>
      <c r="F124" s="4">
        <v>82</v>
      </c>
      <c r="G124" s="4">
        <v>2</v>
      </c>
      <c r="H124" s="4"/>
    </row>
    <row r="125" spans="1:8" ht="15" customHeight="1" x14ac:dyDescent="0.3">
      <c r="A125" s="4" t="s">
        <v>322</v>
      </c>
      <c r="B125" s="4" t="s">
        <v>317</v>
      </c>
      <c r="C125" s="4" t="s">
        <v>318</v>
      </c>
      <c r="D125" s="4" t="s">
        <v>323</v>
      </c>
      <c r="E125" s="4" t="s">
        <v>71</v>
      </c>
      <c r="F125" s="4">
        <v>123</v>
      </c>
      <c r="G125" s="4">
        <v>2.5</v>
      </c>
      <c r="H125" s="4"/>
    </row>
    <row r="126" spans="1:8" ht="15" customHeight="1" x14ac:dyDescent="0.3">
      <c r="A126" s="4" t="s">
        <v>324</v>
      </c>
      <c r="B126" s="4" t="s">
        <v>317</v>
      </c>
      <c r="C126" s="4" t="s">
        <v>318</v>
      </c>
      <c r="D126" s="4" t="s">
        <v>325</v>
      </c>
      <c r="E126" s="4" t="s">
        <v>71</v>
      </c>
      <c r="F126" s="4">
        <v>82</v>
      </c>
      <c r="G126" s="4">
        <v>3</v>
      </c>
      <c r="H126" s="4"/>
    </row>
    <row r="127" spans="1:8" ht="15" customHeight="1" x14ac:dyDescent="0.3">
      <c r="A127" s="4" t="s">
        <v>326</v>
      </c>
      <c r="B127" s="4" t="s">
        <v>317</v>
      </c>
      <c r="C127" s="4" t="s">
        <v>318</v>
      </c>
      <c r="D127" s="4" t="s">
        <v>327</v>
      </c>
      <c r="E127" s="4" t="s">
        <v>71</v>
      </c>
      <c r="F127" s="4">
        <v>47</v>
      </c>
      <c r="G127" s="4">
        <v>1.5</v>
      </c>
      <c r="H127" s="4"/>
    </row>
    <row r="128" spans="1:8" ht="15" customHeight="1" x14ac:dyDescent="0.3">
      <c r="A128" s="4" t="s">
        <v>328</v>
      </c>
      <c r="B128" s="4" t="s">
        <v>317</v>
      </c>
      <c r="C128" s="4" t="s">
        <v>318</v>
      </c>
      <c r="D128" s="4" t="s">
        <v>329</v>
      </c>
      <c r="E128" s="4" t="s">
        <v>71</v>
      </c>
      <c r="F128" s="4">
        <v>56</v>
      </c>
      <c r="G128" s="4">
        <v>1.8</v>
      </c>
      <c r="H128" s="4"/>
    </row>
    <row r="129" spans="1:8" ht="15" customHeight="1" x14ac:dyDescent="0.3">
      <c r="A129" s="4" t="s">
        <v>330</v>
      </c>
      <c r="B129" s="4" t="s">
        <v>317</v>
      </c>
      <c r="C129" s="4" t="s">
        <v>318</v>
      </c>
      <c r="D129" s="4" t="s">
        <v>331</v>
      </c>
      <c r="E129" s="4" t="s">
        <v>71</v>
      </c>
      <c r="F129" s="4">
        <v>44</v>
      </c>
      <c r="G129" s="4">
        <v>1.2</v>
      </c>
      <c r="H129" s="4"/>
    </row>
    <row r="130" spans="1:8" ht="15" customHeight="1" x14ac:dyDescent="0.3">
      <c r="A130" s="4" t="s">
        <v>332</v>
      </c>
      <c r="B130" s="4" t="s">
        <v>317</v>
      </c>
      <c r="C130" s="4" t="s">
        <v>318</v>
      </c>
      <c r="D130" s="4" t="s">
        <v>333</v>
      </c>
      <c r="E130" s="4" t="s">
        <v>71</v>
      </c>
      <c r="F130" s="4">
        <v>64</v>
      </c>
      <c r="G130" s="4">
        <v>1.5</v>
      </c>
      <c r="H130" s="4"/>
    </row>
    <row r="131" spans="1:8" ht="15" customHeight="1" x14ac:dyDescent="0.3">
      <c r="A131" s="4" t="s">
        <v>334</v>
      </c>
      <c r="B131" s="4" t="s">
        <v>317</v>
      </c>
      <c r="C131" s="4" t="s">
        <v>318</v>
      </c>
      <c r="D131" s="4" t="s">
        <v>335</v>
      </c>
      <c r="E131" s="4" t="s">
        <v>71</v>
      </c>
      <c r="F131" s="4">
        <v>21</v>
      </c>
      <c r="G131" s="4">
        <v>0.6</v>
      </c>
      <c r="H131" s="4"/>
    </row>
    <row r="132" spans="1:8" ht="15" customHeight="1" x14ac:dyDescent="0.3">
      <c r="A132" s="4" t="s">
        <v>336</v>
      </c>
      <c r="B132" s="4" t="s">
        <v>317</v>
      </c>
      <c r="C132" s="4" t="s">
        <v>318</v>
      </c>
      <c r="D132" s="4" t="s">
        <v>337</v>
      </c>
      <c r="E132" s="4" t="s">
        <v>71</v>
      </c>
      <c r="F132" s="4">
        <v>32</v>
      </c>
      <c r="G132" s="4">
        <v>1</v>
      </c>
      <c r="H132" s="4"/>
    </row>
    <row r="133" spans="1:8" ht="15" customHeight="1" x14ac:dyDescent="0.3">
      <c r="A133" s="4" t="s">
        <v>338</v>
      </c>
      <c r="B133" s="4" t="s">
        <v>317</v>
      </c>
      <c r="C133" s="4" t="s">
        <v>318</v>
      </c>
      <c r="D133" s="4" t="s">
        <v>339</v>
      </c>
      <c r="E133" s="4" t="s">
        <v>154</v>
      </c>
      <c r="F133" s="4">
        <v>16</v>
      </c>
      <c r="G133" s="4">
        <v>2.76</v>
      </c>
      <c r="H133" s="4"/>
    </row>
    <row r="134" spans="1:8" ht="15" customHeight="1" x14ac:dyDescent="0.3">
      <c r="A134" s="4" t="s">
        <v>340</v>
      </c>
      <c r="B134" s="4" t="s">
        <v>317</v>
      </c>
      <c r="C134" s="4" t="s">
        <v>318</v>
      </c>
      <c r="D134" s="4" t="s">
        <v>341</v>
      </c>
      <c r="E134" s="4" t="s">
        <v>154</v>
      </c>
      <c r="F134" s="4">
        <v>47</v>
      </c>
      <c r="G134" s="4">
        <v>4.97</v>
      </c>
      <c r="H134" s="4"/>
    </row>
    <row r="135" spans="1:8" ht="15" customHeight="1" x14ac:dyDescent="0.3">
      <c r="A135" s="4" t="s">
        <v>342</v>
      </c>
      <c r="B135" s="4" t="s">
        <v>317</v>
      </c>
      <c r="C135" s="4" t="s">
        <v>318</v>
      </c>
      <c r="D135" s="4" t="s">
        <v>343</v>
      </c>
      <c r="E135" s="4" t="s">
        <v>154</v>
      </c>
      <c r="F135" s="4">
        <v>5</v>
      </c>
      <c r="G135" s="4">
        <v>0.22</v>
      </c>
      <c r="H135" s="4"/>
    </row>
    <row r="136" spans="1:8" ht="15" customHeight="1" x14ac:dyDescent="0.3">
      <c r="A136" s="4" t="s">
        <v>344</v>
      </c>
      <c r="B136" s="4" t="s">
        <v>317</v>
      </c>
      <c r="C136" s="4" t="s">
        <v>318</v>
      </c>
      <c r="D136" s="4" t="s">
        <v>345</v>
      </c>
      <c r="E136" s="4" t="s">
        <v>154</v>
      </c>
      <c r="F136" s="4">
        <v>5</v>
      </c>
      <c r="G136" s="4">
        <v>0.83</v>
      </c>
      <c r="H136" s="4"/>
    </row>
    <row r="137" spans="1:8" ht="15" customHeight="1" x14ac:dyDescent="0.3">
      <c r="A137" s="4" t="s">
        <v>346</v>
      </c>
      <c r="B137" s="4" t="s">
        <v>317</v>
      </c>
      <c r="C137" s="4" t="s">
        <v>318</v>
      </c>
      <c r="D137" s="4" t="s">
        <v>347</v>
      </c>
      <c r="E137" s="4" t="s">
        <v>154</v>
      </c>
      <c r="F137" s="4">
        <v>6</v>
      </c>
      <c r="G137" s="4">
        <v>0.99</v>
      </c>
      <c r="H137" s="4"/>
    </row>
    <row r="138" spans="1:8" ht="15" customHeight="1" x14ac:dyDescent="0.3">
      <c r="A138" s="4" t="s">
        <v>348</v>
      </c>
      <c r="B138" s="4" t="s">
        <v>317</v>
      </c>
      <c r="C138" s="4" t="s">
        <v>318</v>
      </c>
      <c r="D138" s="4" t="s">
        <v>349</v>
      </c>
      <c r="E138" s="4" t="s">
        <v>154</v>
      </c>
      <c r="F138" s="4">
        <v>5</v>
      </c>
      <c r="G138" s="4">
        <v>0.28000000000000003</v>
      </c>
      <c r="H138" s="4"/>
    </row>
    <row r="139" spans="1:8" ht="15" customHeight="1" x14ac:dyDescent="0.3">
      <c r="A139" s="4" t="s">
        <v>350</v>
      </c>
      <c r="B139" s="4" t="s">
        <v>317</v>
      </c>
      <c r="C139" s="4" t="s">
        <v>318</v>
      </c>
      <c r="D139" s="4" t="s">
        <v>351</v>
      </c>
      <c r="E139" s="4" t="s">
        <v>154</v>
      </c>
      <c r="F139" s="4">
        <v>36</v>
      </c>
      <c r="G139" s="4">
        <v>3.87</v>
      </c>
      <c r="H139" s="4"/>
    </row>
    <row r="140" spans="1:8" ht="15" customHeight="1" x14ac:dyDescent="0.3">
      <c r="A140" s="4" t="s">
        <v>352</v>
      </c>
      <c r="B140" s="4" t="s">
        <v>317</v>
      </c>
      <c r="C140" s="4" t="s">
        <v>318</v>
      </c>
      <c r="D140" s="4" t="s">
        <v>353</v>
      </c>
      <c r="E140" s="4" t="s">
        <v>154</v>
      </c>
      <c r="F140" s="4">
        <v>5</v>
      </c>
      <c r="G140" s="4">
        <v>0.14000000000000001</v>
      </c>
      <c r="H140" s="4"/>
    </row>
    <row r="141" spans="1:8" ht="15" customHeight="1" x14ac:dyDescent="0.3">
      <c r="A141" s="4" t="s">
        <v>354</v>
      </c>
      <c r="B141" s="4" t="s">
        <v>317</v>
      </c>
      <c r="C141" s="4" t="s">
        <v>318</v>
      </c>
      <c r="D141" s="4" t="s">
        <v>355</v>
      </c>
      <c r="E141" s="4" t="s">
        <v>71</v>
      </c>
      <c r="F141" s="4">
        <v>38</v>
      </c>
      <c r="G141" s="4">
        <v>1.3</v>
      </c>
      <c r="H141" s="4"/>
    </row>
    <row r="142" spans="1:8" ht="15" customHeight="1" x14ac:dyDescent="0.3">
      <c r="A142" s="4" t="s">
        <v>356</v>
      </c>
      <c r="B142" s="4" t="s">
        <v>317</v>
      </c>
      <c r="C142" s="4" t="s">
        <v>318</v>
      </c>
      <c r="D142" s="4" t="s">
        <v>357</v>
      </c>
      <c r="E142" s="4" t="s">
        <v>71</v>
      </c>
      <c r="F142" s="4">
        <v>82</v>
      </c>
      <c r="G142" s="4">
        <v>2.5</v>
      </c>
      <c r="H142" s="4"/>
    </row>
    <row r="143" spans="1:8" ht="15" customHeight="1" x14ac:dyDescent="0.3">
      <c r="A143" s="4" t="s">
        <v>358</v>
      </c>
      <c r="B143" s="4" t="s">
        <v>359</v>
      </c>
      <c r="C143" s="4" t="s">
        <v>360</v>
      </c>
      <c r="D143" s="4" t="s">
        <v>361</v>
      </c>
      <c r="E143" s="4" t="s">
        <v>154</v>
      </c>
      <c r="F143" s="4">
        <v>18</v>
      </c>
      <c r="G143" s="4">
        <v>2.21</v>
      </c>
      <c r="H143" s="4"/>
    </row>
    <row r="144" spans="1:8" ht="15" customHeight="1" x14ac:dyDescent="0.3">
      <c r="A144" s="4" t="s">
        <v>362</v>
      </c>
      <c r="B144" s="4" t="s">
        <v>359</v>
      </c>
      <c r="C144" s="4" t="s">
        <v>360</v>
      </c>
      <c r="D144" s="4" t="s">
        <v>363</v>
      </c>
      <c r="E144" s="4" t="s">
        <v>154</v>
      </c>
      <c r="F144" s="4">
        <v>13</v>
      </c>
      <c r="G144" s="4">
        <v>1.93</v>
      </c>
      <c r="H144" s="4"/>
    </row>
    <row r="145" spans="1:8" ht="15" customHeight="1" x14ac:dyDescent="0.3">
      <c r="A145" s="4" t="s">
        <v>364</v>
      </c>
      <c r="B145" s="4" t="s">
        <v>359</v>
      </c>
      <c r="C145" s="4" t="s">
        <v>360</v>
      </c>
      <c r="D145" s="4" t="s">
        <v>365</v>
      </c>
      <c r="E145" s="4" t="s">
        <v>154</v>
      </c>
      <c r="F145" s="4">
        <v>15</v>
      </c>
      <c r="G145" s="4">
        <v>1.93</v>
      </c>
      <c r="H145" s="4"/>
    </row>
    <row r="146" spans="1:8" ht="15" customHeight="1" x14ac:dyDescent="0.3">
      <c r="A146" s="4" t="s">
        <v>366</v>
      </c>
      <c r="B146" s="4" t="s">
        <v>359</v>
      </c>
      <c r="C146" s="4" t="s">
        <v>360</v>
      </c>
      <c r="D146" s="4" t="s">
        <v>367</v>
      </c>
      <c r="E146" s="4" t="s">
        <v>71</v>
      </c>
      <c r="F146" s="4">
        <v>44</v>
      </c>
      <c r="G146" s="4">
        <v>1.2</v>
      </c>
      <c r="H146" s="4"/>
    </row>
    <row r="147" spans="1:8" ht="15" customHeight="1" x14ac:dyDescent="0.3">
      <c r="A147" s="4" t="s">
        <v>368</v>
      </c>
      <c r="B147" s="4" t="s">
        <v>359</v>
      </c>
      <c r="C147" s="4" t="s">
        <v>360</v>
      </c>
      <c r="D147" s="4" t="s">
        <v>369</v>
      </c>
      <c r="E147" s="4" t="s">
        <v>71</v>
      </c>
      <c r="F147" s="4">
        <v>94</v>
      </c>
      <c r="G147" s="4">
        <v>2</v>
      </c>
      <c r="H147" s="4"/>
    </row>
    <row r="148" spans="1:8" ht="15" customHeight="1" x14ac:dyDescent="0.3">
      <c r="A148" s="4" t="s">
        <v>370</v>
      </c>
      <c r="B148" s="4" t="s">
        <v>359</v>
      </c>
      <c r="C148" s="4" t="s">
        <v>360</v>
      </c>
      <c r="D148" s="4" t="s">
        <v>371</v>
      </c>
      <c r="E148" s="4" t="s">
        <v>71</v>
      </c>
      <c r="F148" s="4">
        <v>38</v>
      </c>
      <c r="G148" s="4">
        <v>0.8</v>
      </c>
      <c r="H148" s="4"/>
    </row>
    <row r="149" spans="1:8" ht="15" customHeight="1" x14ac:dyDescent="0.3">
      <c r="A149" s="4" t="s">
        <v>372</v>
      </c>
      <c r="B149" s="4" t="s">
        <v>359</v>
      </c>
      <c r="C149" s="4" t="s">
        <v>360</v>
      </c>
      <c r="D149" s="4" t="s">
        <v>373</v>
      </c>
      <c r="E149" s="4" t="s">
        <v>154</v>
      </c>
      <c r="F149" s="4">
        <v>5</v>
      </c>
      <c r="G149" s="4">
        <v>0.38</v>
      </c>
      <c r="H149" s="4"/>
    </row>
    <row r="150" spans="1:8" ht="15" customHeight="1" x14ac:dyDescent="0.3">
      <c r="A150" s="4" t="s">
        <v>374</v>
      </c>
      <c r="B150" s="4" t="s">
        <v>359</v>
      </c>
      <c r="C150" s="4" t="s">
        <v>360</v>
      </c>
      <c r="D150" s="4" t="s">
        <v>375</v>
      </c>
      <c r="E150" s="4" t="s">
        <v>154</v>
      </c>
      <c r="F150" s="4">
        <v>8</v>
      </c>
      <c r="G150" s="4">
        <v>1.1000000000000001</v>
      </c>
      <c r="H150" s="4"/>
    </row>
    <row r="151" spans="1:8" ht="15" customHeight="1" x14ac:dyDescent="0.3">
      <c r="A151" s="4" t="s">
        <v>376</v>
      </c>
      <c r="B151" s="4" t="s">
        <v>359</v>
      </c>
      <c r="C151" s="4" t="s">
        <v>360</v>
      </c>
      <c r="D151" s="4" t="s">
        <v>377</v>
      </c>
      <c r="E151" s="4" t="s">
        <v>71</v>
      </c>
      <c r="F151" s="4">
        <v>82</v>
      </c>
      <c r="G151" s="4">
        <v>2.5</v>
      </c>
      <c r="H151" s="4"/>
    </row>
    <row r="152" spans="1:8" ht="15" customHeight="1" x14ac:dyDescent="0.3">
      <c r="A152" s="4" t="s">
        <v>378</v>
      </c>
      <c r="B152" s="4" t="s">
        <v>359</v>
      </c>
      <c r="C152" s="4" t="s">
        <v>360</v>
      </c>
      <c r="D152" s="4" t="s">
        <v>379</v>
      </c>
      <c r="E152" s="4" t="s">
        <v>71</v>
      </c>
      <c r="F152" s="4">
        <v>64</v>
      </c>
      <c r="G152" s="4">
        <v>2</v>
      </c>
      <c r="H152" s="4"/>
    </row>
    <row r="153" spans="1:8" ht="15" customHeight="1" x14ac:dyDescent="0.3">
      <c r="A153" s="4" t="s">
        <v>380</v>
      </c>
      <c r="B153" s="4" t="s">
        <v>381</v>
      </c>
      <c r="C153" s="4" t="s">
        <v>382</v>
      </c>
      <c r="D153" s="4" t="s">
        <v>383</v>
      </c>
      <c r="E153" s="4" t="s">
        <v>154</v>
      </c>
      <c r="F153" s="4">
        <v>6</v>
      </c>
      <c r="G153" s="4">
        <v>0.83</v>
      </c>
      <c r="H153" s="4"/>
    </row>
    <row r="154" spans="1:8" ht="15" customHeight="1" x14ac:dyDescent="0.3">
      <c r="A154" s="4" t="s">
        <v>384</v>
      </c>
      <c r="B154" s="4" t="s">
        <v>381</v>
      </c>
      <c r="C154" s="4" t="s">
        <v>382</v>
      </c>
      <c r="D154" s="4" t="s">
        <v>385</v>
      </c>
      <c r="E154" s="4" t="s">
        <v>154</v>
      </c>
      <c r="F154" s="4">
        <v>5</v>
      </c>
      <c r="G154" s="4">
        <v>0.55000000000000004</v>
      </c>
      <c r="H154" s="4"/>
    </row>
    <row r="155" spans="1:8" ht="15" customHeight="1" x14ac:dyDescent="0.3">
      <c r="A155" s="4" t="s">
        <v>386</v>
      </c>
      <c r="B155" s="4" t="s">
        <v>381</v>
      </c>
      <c r="C155" s="4" t="s">
        <v>382</v>
      </c>
      <c r="D155" s="4" t="s">
        <v>387</v>
      </c>
      <c r="E155" s="4" t="s">
        <v>154</v>
      </c>
      <c r="F155" s="4">
        <v>24</v>
      </c>
      <c r="G155" s="4">
        <v>2.76</v>
      </c>
      <c r="H155" s="4"/>
    </row>
    <row r="156" spans="1:8" ht="15" customHeight="1" x14ac:dyDescent="0.3">
      <c r="A156" s="4" t="s">
        <v>388</v>
      </c>
      <c r="B156" s="4" t="s">
        <v>381</v>
      </c>
      <c r="C156" s="4" t="s">
        <v>382</v>
      </c>
      <c r="D156" s="4" t="s">
        <v>389</v>
      </c>
      <c r="E156" s="4" t="s">
        <v>154</v>
      </c>
      <c r="F156" s="4">
        <v>8</v>
      </c>
      <c r="G156" s="4">
        <v>1.38</v>
      </c>
      <c r="H156" s="4"/>
    </row>
    <row r="157" spans="1:8" ht="15" customHeight="1" x14ac:dyDescent="0.3">
      <c r="A157" s="4" t="s">
        <v>390</v>
      </c>
      <c r="B157" s="4" t="s">
        <v>381</v>
      </c>
      <c r="C157" s="4" t="s">
        <v>382</v>
      </c>
      <c r="D157" s="4" t="s">
        <v>391</v>
      </c>
      <c r="E157" s="4" t="s">
        <v>71</v>
      </c>
      <c r="F157" s="4">
        <v>26</v>
      </c>
      <c r="G157" s="4">
        <v>0.8</v>
      </c>
      <c r="H157" s="4"/>
    </row>
    <row r="158" spans="1:8" ht="15" customHeight="1" x14ac:dyDescent="0.3">
      <c r="A158" s="4" t="s">
        <v>392</v>
      </c>
      <c r="B158" s="4" t="s">
        <v>381</v>
      </c>
      <c r="C158" s="4" t="s">
        <v>382</v>
      </c>
      <c r="D158" s="4" t="s">
        <v>393</v>
      </c>
      <c r="E158" s="4" t="s">
        <v>71</v>
      </c>
      <c r="F158" s="4">
        <v>82</v>
      </c>
      <c r="G158" s="4">
        <v>2</v>
      </c>
      <c r="H158" s="4"/>
    </row>
    <row r="159" spans="1:8" ht="15" customHeight="1" x14ac:dyDescent="0.3">
      <c r="A159" s="4" t="s">
        <v>394</v>
      </c>
      <c r="B159" s="4" t="s">
        <v>381</v>
      </c>
      <c r="C159" s="4" t="s">
        <v>382</v>
      </c>
      <c r="D159" s="4" t="s">
        <v>395</v>
      </c>
      <c r="E159" s="4" t="s">
        <v>71</v>
      </c>
      <c r="F159" s="4">
        <v>21</v>
      </c>
      <c r="G159" s="4">
        <v>0.6</v>
      </c>
      <c r="H159" s="4"/>
    </row>
    <row r="160" spans="1:8" ht="15" customHeight="1" x14ac:dyDescent="0.3">
      <c r="A160" s="4" t="s">
        <v>396</v>
      </c>
      <c r="B160" s="4" t="s">
        <v>381</v>
      </c>
      <c r="C160" s="4" t="s">
        <v>382</v>
      </c>
      <c r="D160" s="4" t="s">
        <v>397</v>
      </c>
      <c r="E160" s="4" t="s">
        <v>71</v>
      </c>
      <c r="F160" s="4">
        <v>26</v>
      </c>
      <c r="G160" s="4">
        <v>0.7</v>
      </c>
      <c r="H160" s="4"/>
    </row>
    <row r="161" spans="1:8" ht="15" customHeight="1" x14ac:dyDescent="0.3">
      <c r="A161" s="4" t="s">
        <v>398</v>
      </c>
      <c r="B161" s="4" t="s">
        <v>381</v>
      </c>
      <c r="C161" s="4" t="s">
        <v>382</v>
      </c>
      <c r="D161" s="4" t="s">
        <v>399</v>
      </c>
      <c r="E161" s="4" t="s">
        <v>71</v>
      </c>
      <c r="F161" s="4">
        <v>111</v>
      </c>
      <c r="G161" s="4">
        <v>2</v>
      </c>
      <c r="H161" s="4"/>
    </row>
    <row r="162" spans="1:8" ht="15" customHeight="1" x14ac:dyDescent="0.3">
      <c r="A162" s="4" t="s">
        <v>400</v>
      </c>
      <c r="B162" s="4" t="s">
        <v>381</v>
      </c>
      <c r="C162" s="4" t="s">
        <v>382</v>
      </c>
      <c r="D162" s="4" t="s">
        <v>401</v>
      </c>
      <c r="E162" s="4" t="s">
        <v>71</v>
      </c>
      <c r="F162" s="4">
        <v>18</v>
      </c>
      <c r="G162" s="4">
        <v>0.5</v>
      </c>
      <c r="H162" s="4"/>
    </row>
    <row r="163" spans="1:8" ht="15" customHeight="1" x14ac:dyDescent="0.3">
      <c r="A163" s="4" t="s">
        <v>402</v>
      </c>
      <c r="B163" s="4" t="s">
        <v>403</v>
      </c>
      <c r="C163" s="4" t="s">
        <v>404</v>
      </c>
      <c r="D163" s="4" t="s">
        <v>405</v>
      </c>
      <c r="E163" s="4" t="s">
        <v>71</v>
      </c>
      <c r="F163" s="4">
        <v>8</v>
      </c>
      <c r="G163" s="4">
        <v>0.7</v>
      </c>
      <c r="H163" s="4" t="s">
        <v>84</v>
      </c>
    </row>
    <row r="164" spans="1:8" ht="15" customHeight="1" x14ac:dyDescent="0.3">
      <c r="A164" s="4" t="s">
        <v>406</v>
      </c>
      <c r="B164" s="4" t="s">
        <v>403</v>
      </c>
      <c r="C164" s="4" t="s">
        <v>404</v>
      </c>
      <c r="D164" s="4" t="s">
        <v>407</v>
      </c>
      <c r="E164" s="4" t="s">
        <v>71</v>
      </c>
      <c r="F164" s="4">
        <v>44</v>
      </c>
      <c r="G164" s="4">
        <v>1.8</v>
      </c>
      <c r="H164" s="4"/>
    </row>
    <row r="165" spans="1:8" ht="15" customHeight="1" x14ac:dyDescent="0.3">
      <c r="A165" s="4" t="s">
        <v>408</v>
      </c>
      <c r="B165" s="4" t="s">
        <v>403</v>
      </c>
      <c r="C165" s="4" t="s">
        <v>404</v>
      </c>
      <c r="D165" s="4" t="s">
        <v>409</v>
      </c>
      <c r="E165" s="4" t="s">
        <v>71</v>
      </c>
      <c r="F165" s="4">
        <v>32</v>
      </c>
      <c r="G165" s="4">
        <v>1.2</v>
      </c>
      <c r="H165" s="4"/>
    </row>
    <row r="166" spans="1:8" ht="15" customHeight="1" x14ac:dyDescent="0.3">
      <c r="A166" s="4" t="s">
        <v>410</v>
      </c>
      <c r="B166" s="4" t="s">
        <v>403</v>
      </c>
      <c r="C166" s="4" t="s">
        <v>404</v>
      </c>
      <c r="D166" s="4" t="s">
        <v>411</v>
      </c>
      <c r="E166" s="4" t="s">
        <v>71</v>
      </c>
      <c r="F166" s="4">
        <v>47</v>
      </c>
      <c r="G166" s="4">
        <v>1.5</v>
      </c>
      <c r="H166" s="4"/>
    </row>
    <row r="167" spans="1:8" ht="15" customHeight="1" x14ac:dyDescent="0.3">
      <c r="A167" s="4" t="s">
        <v>412</v>
      </c>
      <c r="B167" s="4" t="s">
        <v>403</v>
      </c>
      <c r="C167" s="4" t="s">
        <v>404</v>
      </c>
      <c r="D167" s="4" t="s">
        <v>413</v>
      </c>
      <c r="E167" s="4" t="s">
        <v>71</v>
      </c>
      <c r="F167" s="4">
        <v>64</v>
      </c>
      <c r="G167" s="4">
        <v>2</v>
      </c>
      <c r="H167" s="4"/>
    </row>
    <row r="168" spans="1:8" ht="15" customHeight="1" x14ac:dyDescent="0.3">
      <c r="A168" s="4" t="s">
        <v>414</v>
      </c>
      <c r="B168" s="4" t="s">
        <v>403</v>
      </c>
      <c r="C168" s="4" t="s">
        <v>404</v>
      </c>
      <c r="D168" s="4" t="s">
        <v>415</v>
      </c>
      <c r="E168" s="4" t="s">
        <v>71</v>
      </c>
      <c r="F168" s="4">
        <v>26</v>
      </c>
      <c r="G168" s="4">
        <v>1</v>
      </c>
      <c r="H168" s="4"/>
    </row>
    <row r="169" spans="1:8" ht="15" customHeight="1" x14ac:dyDescent="0.3">
      <c r="A169" s="4" t="s">
        <v>416</v>
      </c>
      <c r="B169" s="4" t="s">
        <v>403</v>
      </c>
      <c r="C169" s="4" t="s">
        <v>404</v>
      </c>
      <c r="D169" s="4" t="s">
        <v>417</v>
      </c>
      <c r="E169" s="4" t="s">
        <v>71</v>
      </c>
      <c r="F169" s="4">
        <v>26</v>
      </c>
      <c r="G169" s="4">
        <v>1</v>
      </c>
      <c r="H169" s="4"/>
    </row>
    <row r="170" spans="1:8" ht="15" customHeight="1" x14ac:dyDescent="0.3">
      <c r="A170" s="4" t="s">
        <v>418</v>
      </c>
      <c r="B170" s="4" t="s">
        <v>403</v>
      </c>
      <c r="C170" s="4" t="s">
        <v>404</v>
      </c>
      <c r="D170" s="4" t="s">
        <v>419</v>
      </c>
      <c r="E170" s="4" t="s">
        <v>71</v>
      </c>
      <c r="F170" s="4">
        <v>70</v>
      </c>
      <c r="G170" s="4">
        <v>2.5</v>
      </c>
      <c r="H170" s="4"/>
    </row>
    <row r="171" spans="1:8" ht="15" customHeight="1" x14ac:dyDescent="0.3">
      <c r="A171" s="4" t="s">
        <v>420</v>
      </c>
      <c r="B171" s="4" t="s">
        <v>403</v>
      </c>
      <c r="C171" s="4" t="s">
        <v>404</v>
      </c>
      <c r="D171" s="4" t="s">
        <v>421</v>
      </c>
      <c r="E171" s="4" t="s">
        <v>71</v>
      </c>
      <c r="F171" s="4">
        <v>47</v>
      </c>
      <c r="G171" s="4">
        <v>1.5</v>
      </c>
      <c r="H171" s="4"/>
    </row>
    <row r="172" spans="1:8" ht="15" customHeight="1" x14ac:dyDescent="0.3">
      <c r="A172" s="4" t="s">
        <v>422</v>
      </c>
      <c r="B172" s="4" t="s">
        <v>403</v>
      </c>
      <c r="C172" s="4" t="s">
        <v>404</v>
      </c>
      <c r="D172" s="4" t="s">
        <v>423</v>
      </c>
      <c r="E172" s="4" t="s">
        <v>71</v>
      </c>
      <c r="F172" s="4">
        <v>94</v>
      </c>
      <c r="G172" s="4">
        <v>3</v>
      </c>
      <c r="H172" s="4"/>
    </row>
    <row r="173" spans="1:8" ht="15" customHeight="1" x14ac:dyDescent="0.3">
      <c r="A173" s="4" t="s">
        <v>424</v>
      </c>
      <c r="B173" s="4" t="s">
        <v>425</v>
      </c>
      <c r="C173" s="4" t="s">
        <v>426</v>
      </c>
      <c r="D173" s="4" t="s">
        <v>427</v>
      </c>
      <c r="E173" s="4" t="s">
        <v>71</v>
      </c>
      <c r="F173" s="4">
        <v>23</v>
      </c>
      <c r="G173" s="4">
        <v>0.8</v>
      </c>
      <c r="H173" s="4"/>
    </row>
    <row r="174" spans="1:8" ht="15" customHeight="1" x14ac:dyDescent="0.3">
      <c r="A174" s="4" t="s">
        <v>428</v>
      </c>
      <c r="B174" s="4" t="s">
        <v>425</v>
      </c>
      <c r="C174" s="4" t="s">
        <v>426</v>
      </c>
      <c r="D174" s="4" t="s">
        <v>429</v>
      </c>
      <c r="E174" s="4" t="s">
        <v>71</v>
      </c>
      <c r="F174" s="4">
        <v>47</v>
      </c>
      <c r="G174" s="4">
        <v>1.2</v>
      </c>
      <c r="H174" s="4"/>
    </row>
    <row r="175" spans="1:8" ht="15" customHeight="1" x14ac:dyDescent="0.3">
      <c r="A175" s="4" t="s">
        <v>430</v>
      </c>
      <c r="B175" s="4" t="s">
        <v>425</v>
      </c>
      <c r="C175" s="4" t="s">
        <v>426</v>
      </c>
      <c r="D175" s="4" t="s">
        <v>431</v>
      </c>
      <c r="E175" s="4" t="s">
        <v>71</v>
      </c>
      <c r="F175" s="4">
        <v>53</v>
      </c>
      <c r="G175" s="4">
        <v>1.5</v>
      </c>
      <c r="H175" s="4"/>
    </row>
    <row r="176" spans="1:8" ht="15" customHeight="1" x14ac:dyDescent="0.3">
      <c r="A176" s="4" t="s">
        <v>432</v>
      </c>
      <c r="B176" s="4" t="s">
        <v>425</v>
      </c>
      <c r="C176" s="4" t="s">
        <v>426</v>
      </c>
      <c r="D176" s="4" t="s">
        <v>433</v>
      </c>
      <c r="E176" s="4" t="s">
        <v>71</v>
      </c>
      <c r="F176" s="4">
        <v>18</v>
      </c>
      <c r="G176" s="4">
        <v>0.5</v>
      </c>
      <c r="H176" s="4"/>
    </row>
    <row r="177" spans="1:8" ht="15" customHeight="1" x14ac:dyDescent="0.3">
      <c r="A177" s="4" t="s">
        <v>434</v>
      </c>
      <c r="B177" s="4" t="s">
        <v>425</v>
      </c>
      <c r="C177" s="4" t="s">
        <v>426</v>
      </c>
      <c r="D177" s="4" t="s">
        <v>435</v>
      </c>
      <c r="E177" s="4" t="s">
        <v>71</v>
      </c>
      <c r="F177" s="4">
        <v>38</v>
      </c>
      <c r="G177" s="4">
        <v>1</v>
      </c>
      <c r="H177" s="4"/>
    </row>
    <row r="178" spans="1:8" ht="15" customHeight="1" x14ac:dyDescent="0.3">
      <c r="A178" s="4" t="s">
        <v>436</v>
      </c>
      <c r="B178" s="4" t="s">
        <v>425</v>
      </c>
      <c r="C178" s="4" t="s">
        <v>426</v>
      </c>
      <c r="D178" s="4" t="s">
        <v>437</v>
      </c>
      <c r="E178" s="4" t="s">
        <v>71</v>
      </c>
      <c r="F178" s="4">
        <v>41</v>
      </c>
      <c r="G178" s="4">
        <v>1</v>
      </c>
      <c r="H178" s="4"/>
    </row>
    <row r="179" spans="1:8" ht="15" customHeight="1" x14ac:dyDescent="0.3">
      <c r="A179" s="4" t="s">
        <v>438</v>
      </c>
      <c r="B179" s="4" t="s">
        <v>425</v>
      </c>
      <c r="C179" s="4" t="s">
        <v>426</v>
      </c>
      <c r="D179" s="4" t="s">
        <v>439</v>
      </c>
      <c r="E179" s="4" t="s">
        <v>71</v>
      </c>
      <c r="F179" s="4">
        <v>29</v>
      </c>
      <c r="G179" s="4">
        <v>0.8</v>
      </c>
      <c r="H179" s="4"/>
    </row>
    <row r="180" spans="1:8" ht="15" customHeight="1" x14ac:dyDescent="0.3">
      <c r="A180" s="4" t="s">
        <v>440</v>
      </c>
      <c r="B180" s="4" t="s">
        <v>425</v>
      </c>
      <c r="C180" s="4" t="s">
        <v>426</v>
      </c>
      <c r="D180" s="4" t="s">
        <v>441</v>
      </c>
      <c r="E180" s="4" t="s">
        <v>154</v>
      </c>
      <c r="F180" s="4">
        <v>5</v>
      </c>
      <c r="G180" s="4">
        <v>0.83</v>
      </c>
      <c r="H180" s="4"/>
    </row>
    <row r="181" spans="1:8" ht="15" customHeight="1" x14ac:dyDescent="0.3">
      <c r="A181" s="4" t="s">
        <v>442</v>
      </c>
      <c r="B181" s="4" t="s">
        <v>425</v>
      </c>
      <c r="C181" s="4" t="s">
        <v>426</v>
      </c>
      <c r="D181" s="4" t="s">
        <v>443</v>
      </c>
      <c r="E181" s="4" t="s">
        <v>71</v>
      </c>
      <c r="F181" s="4">
        <v>94</v>
      </c>
      <c r="G181" s="4">
        <v>2.5</v>
      </c>
      <c r="H181" s="4"/>
    </row>
    <row r="182" spans="1:8" ht="15" customHeight="1" x14ac:dyDescent="0.3">
      <c r="A182" s="4" t="s">
        <v>444</v>
      </c>
      <c r="B182" s="4" t="s">
        <v>425</v>
      </c>
      <c r="C182" s="4" t="s">
        <v>426</v>
      </c>
      <c r="D182" s="4" t="s">
        <v>445</v>
      </c>
      <c r="E182" s="4" t="s">
        <v>71</v>
      </c>
      <c r="F182" s="4">
        <v>64</v>
      </c>
      <c r="G182" s="4">
        <v>1.8</v>
      </c>
      <c r="H182" s="4"/>
    </row>
    <row r="183" spans="1:8" ht="15" customHeight="1" x14ac:dyDescent="0.3">
      <c r="A183" s="4" t="s">
        <v>446</v>
      </c>
      <c r="B183" s="4" t="s">
        <v>447</v>
      </c>
      <c r="C183" s="4" t="s">
        <v>448</v>
      </c>
      <c r="D183" s="4" t="s">
        <v>449</v>
      </c>
      <c r="E183" s="4" t="s">
        <v>71</v>
      </c>
      <c r="F183" s="4">
        <v>644</v>
      </c>
      <c r="G183" s="4">
        <v>7</v>
      </c>
      <c r="H183" s="4"/>
    </row>
    <row r="184" spans="1:8" ht="15" customHeight="1" x14ac:dyDescent="0.3">
      <c r="A184" s="4" t="s">
        <v>450</v>
      </c>
      <c r="B184" s="4" t="s">
        <v>447</v>
      </c>
      <c r="C184" s="4" t="s">
        <v>448</v>
      </c>
      <c r="D184" s="4" t="s">
        <v>451</v>
      </c>
      <c r="E184" s="4" t="s">
        <v>154</v>
      </c>
      <c r="F184" s="4">
        <v>166</v>
      </c>
      <c r="G184" s="4">
        <v>12.16</v>
      </c>
      <c r="H184" s="4"/>
    </row>
    <row r="185" spans="1:8" ht="15" customHeight="1" x14ac:dyDescent="0.3">
      <c r="A185" s="4" t="s">
        <v>452</v>
      </c>
      <c r="B185" s="4" t="s">
        <v>447</v>
      </c>
      <c r="C185" s="4" t="s">
        <v>448</v>
      </c>
      <c r="D185" s="4" t="s">
        <v>453</v>
      </c>
      <c r="E185" s="4" t="s">
        <v>71</v>
      </c>
      <c r="F185" s="4">
        <v>819</v>
      </c>
      <c r="G185" s="4">
        <v>9</v>
      </c>
      <c r="H185" s="4"/>
    </row>
    <row r="186" spans="1:8" ht="15" customHeight="1" x14ac:dyDescent="0.3">
      <c r="A186" s="4" t="s">
        <v>454</v>
      </c>
      <c r="B186" s="4" t="s">
        <v>447</v>
      </c>
      <c r="C186" s="4" t="s">
        <v>448</v>
      </c>
      <c r="D186" s="4" t="s">
        <v>455</v>
      </c>
      <c r="E186" s="4" t="s">
        <v>154</v>
      </c>
      <c r="F186" s="4">
        <v>361</v>
      </c>
      <c r="G186" s="4">
        <v>24.86</v>
      </c>
      <c r="H186" s="4"/>
    </row>
    <row r="187" spans="1:8" ht="15" customHeight="1" x14ac:dyDescent="0.3">
      <c r="A187" s="4" t="s">
        <v>456</v>
      </c>
      <c r="B187" s="4" t="s">
        <v>447</v>
      </c>
      <c r="C187" s="4" t="s">
        <v>448</v>
      </c>
      <c r="D187" s="4" t="s">
        <v>457</v>
      </c>
      <c r="E187" s="4" t="s">
        <v>71</v>
      </c>
      <c r="F187" s="4">
        <v>424</v>
      </c>
      <c r="G187" s="4">
        <v>6</v>
      </c>
      <c r="H187" s="4"/>
    </row>
    <row r="188" spans="1:8" ht="15" customHeight="1" x14ac:dyDescent="0.3">
      <c r="A188" s="4" t="s">
        <v>458</v>
      </c>
      <c r="B188" s="4" t="s">
        <v>447</v>
      </c>
      <c r="C188" s="4" t="s">
        <v>448</v>
      </c>
      <c r="D188" s="4" t="s">
        <v>459</v>
      </c>
      <c r="E188" s="4" t="s">
        <v>154</v>
      </c>
      <c r="F188" s="4">
        <v>62</v>
      </c>
      <c r="G188" s="4">
        <v>7.73</v>
      </c>
      <c r="H188" s="4"/>
    </row>
    <row r="189" spans="1:8" ht="15" customHeight="1" x14ac:dyDescent="0.3">
      <c r="A189" s="4" t="s">
        <v>460</v>
      </c>
      <c r="B189" s="4" t="s">
        <v>447</v>
      </c>
      <c r="C189" s="4" t="s">
        <v>448</v>
      </c>
      <c r="D189" s="4" t="s">
        <v>461</v>
      </c>
      <c r="E189" s="4" t="s">
        <v>71</v>
      </c>
      <c r="F189" s="4">
        <v>541</v>
      </c>
      <c r="G189" s="4">
        <v>7</v>
      </c>
      <c r="H189" s="4"/>
    </row>
    <row r="190" spans="1:8" ht="15" customHeight="1" x14ac:dyDescent="0.3">
      <c r="A190" s="4" t="s">
        <v>462</v>
      </c>
      <c r="B190" s="4" t="s">
        <v>447</v>
      </c>
      <c r="C190" s="4" t="s">
        <v>448</v>
      </c>
      <c r="D190" s="4" t="s">
        <v>463</v>
      </c>
      <c r="E190" s="4" t="s">
        <v>154</v>
      </c>
      <c r="F190" s="4">
        <v>185</v>
      </c>
      <c r="G190" s="4">
        <v>15.47</v>
      </c>
      <c r="H190" s="4"/>
    </row>
    <row r="191" spans="1:8" ht="15" customHeight="1" x14ac:dyDescent="0.3">
      <c r="A191" s="4" t="s">
        <v>464</v>
      </c>
      <c r="B191" s="4" t="s">
        <v>447</v>
      </c>
      <c r="C191" s="4" t="s">
        <v>448</v>
      </c>
      <c r="D191" s="4" t="s">
        <v>465</v>
      </c>
      <c r="E191" s="4" t="s">
        <v>71</v>
      </c>
      <c r="F191" s="4">
        <v>351</v>
      </c>
      <c r="G191" s="4">
        <v>12</v>
      </c>
      <c r="H191" s="4"/>
    </row>
    <row r="192" spans="1:8" ht="15" customHeight="1" x14ac:dyDescent="0.3">
      <c r="A192" s="4" t="s">
        <v>466</v>
      </c>
      <c r="B192" s="4" t="s">
        <v>447</v>
      </c>
      <c r="C192" s="4" t="s">
        <v>448</v>
      </c>
      <c r="D192" s="4" t="s">
        <v>467</v>
      </c>
      <c r="E192" s="4" t="s">
        <v>71</v>
      </c>
      <c r="F192" s="4">
        <v>571</v>
      </c>
      <c r="G192" s="4">
        <v>7.5</v>
      </c>
      <c r="H192" s="4"/>
    </row>
    <row r="193" spans="1:8" ht="15" customHeight="1" x14ac:dyDescent="0.3">
      <c r="A193" s="4" t="s">
        <v>468</v>
      </c>
      <c r="B193" s="4" t="s">
        <v>469</v>
      </c>
      <c r="C193" s="4" t="s">
        <v>470</v>
      </c>
      <c r="D193" s="4" t="s">
        <v>471</v>
      </c>
      <c r="E193" s="4" t="s">
        <v>71</v>
      </c>
      <c r="F193" s="4">
        <v>38</v>
      </c>
      <c r="G193" s="4">
        <v>1</v>
      </c>
      <c r="H193" s="4"/>
    </row>
    <row r="194" spans="1:8" ht="15" customHeight="1" x14ac:dyDescent="0.3">
      <c r="A194" s="4" t="s">
        <v>472</v>
      </c>
      <c r="B194" s="4" t="s">
        <v>469</v>
      </c>
      <c r="C194" s="4" t="s">
        <v>470</v>
      </c>
      <c r="D194" s="4" t="s">
        <v>473</v>
      </c>
      <c r="E194" s="4" t="s">
        <v>71</v>
      </c>
      <c r="F194" s="4">
        <v>32</v>
      </c>
      <c r="G194" s="4">
        <v>0.8</v>
      </c>
      <c r="H194" s="4"/>
    </row>
    <row r="195" spans="1:8" ht="15" customHeight="1" x14ac:dyDescent="0.3">
      <c r="A195" s="4" t="s">
        <v>474</v>
      </c>
      <c r="B195" s="4" t="s">
        <v>469</v>
      </c>
      <c r="C195" s="4" t="s">
        <v>470</v>
      </c>
      <c r="D195" s="4" t="s">
        <v>475</v>
      </c>
      <c r="E195" s="4" t="s">
        <v>71</v>
      </c>
      <c r="F195" s="4">
        <v>47</v>
      </c>
      <c r="G195" s="4">
        <v>1.2</v>
      </c>
      <c r="H195" s="4"/>
    </row>
    <row r="196" spans="1:8" ht="15" customHeight="1" x14ac:dyDescent="0.3">
      <c r="A196" s="4" t="s">
        <v>476</v>
      </c>
      <c r="B196" s="4" t="s">
        <v>469</v>
      </c>
      <c r="C196" s="4" t="s">
        <v>470</v>
      </c>
      <c r="D196" s="4" t="s">
        <v>477</v>
      </c>
      <c r="E196" s="4" t="s">
        <v>71</v>
      </c>
      <c r="F196" s="4">
        <v>26</v>
      </c>
      <c r="G196" s="4">
        <v>1</v>
      </c>
      <c r="H196" s="4"/>
    </row>
    <row r="197" spans="1:8" ht="15" customHeight="1" x14ac:dyDescent="0.3">
      <c r="A197" s="4" t="s">
        <v>478</v>
      </c>
      <c r="B197" s="4" t="s">
        <v>469</v>
      </c>
      <c r="C197" s="4" t="s">
        <v>470</v>
      </c>
      <c r="D197" s="4" t="s">
        <v>479</v>
      </c>
      <c r="E197" s="4" t="s">
        <v>71</v>
      </c>
      <c r="F197" s="4">
        <v>32</v>
      </c>
      <c r="G197" s="4">
        <v>1</v>
      </c>
      <c r="H197" s="4"/>
    </row>
    <row r="198" spans="1:8" ht="15" customHeight="1" x14ac:dyDescent="0.3">
      <c r="A198" s="4" t="s">
        <v>480</v>
      </c>
      <c r="B198" s="4" t="s">
        <v>469</v>
      </c>
      <c r="C198" s="4" t="s">
        <v>470</v>
      </c>
      <c r="D198" s="4" t="s">
        <v>481</v>
      </c>
      <c r="E198" s="4" t="s">
        <v>71</v>
      </c>
      <c r="F198" s="4">
        <v>41</v>
      </c>
      <c r="G198" s="4">
        <v>1</v>
      </c>
      <c r="H198" s="4"/>
    </row>
    <row r="199" spans="1:8" ht="15" customHeight="1" x14ac:dyDescent="0.3">
      <c r="A199" s="4" t="s">
        <v>482</v>
      </c>
      <c r="B199" s="4" t="s">
        <v>469</v>
      </c>
      <c r="C199" s="4" t="s">
        <v>470</v>
      </c>
      <c r="D199" s="4" t="s">
        <v>483</v>
      </c>
      <c r="E199" s="4" t="s">
        <v>71</v>
      </c>
      <c r="F199" s="4">
        <v>82</v>
      </c>
      <c r="G199" s="4">
        <v>2</v>
      </c>
      <c r="H199" s="4"/>
    </row>
    <row r="200" spans="1:8" ht="15" customHeight="1" x14ac:dyDescent="0.3">
      <c r="A200" s="4" t="s">
        <v>484</v>
      </c>
      <c r="B200" s="4" t="s">
        <v>469</v>
      </c>
      <c r="C200" s="4" t="s">
        <v>470</v>
      </c>
      <c r="D200" s="4" t="s">
        <v>485</v>
      </c>
      <c r="E200" s="4" t="s">
        <v>71</v>
      </c>
      <c r="F200" s="4">
        <v>38</v>
      </c>
      <c r="G200" s="4">
        <v>1</v>
      </c>
      <c r="H200" s="4"/>
    </row>
    <row r="201" spans="1:8" ht="15" customHeight="1" x14ac:dyDescent="0.3">
      <c r="A201" s="4" t="s">
        <v>486</v>
      </c>
      <c r="B201" s="4" t="s">
        <v>469</v>
      </c>
      <c r="C201" s="4" t="s">
        <v>470</v>
      </c>
      <c r="D201" s="4" t="s">
        <v>487</v>
      </c>
      <c r="E201" s="4" t="s">
        <v>71</v>
      </c>
      <c r="F201" s="4">
        <v>32</v>
      </c>
      <c r="G201" s="4">
        <v>1.2</v>
      </c>
      <c r="H201" s="4"/>
    </row>
    <row r="202" spans="1:8" ht="15" customHeight="1" x14ac:dyDescent="0.3">
      <c r="A202" s="4" t="s">
        <v>488</v>
      </c>
      <c r="B202" s="4" t="s">
        <v>469</v>
      </c>
      <c r="C202" s="4" t="s">
        <v>470</v>
      </c>
      <c r="D202" s="4" t="s">
        <v>489</v>
      </c>
      <c r="E202" s="4" t="s">
        <v>71</v>
      </c>
      <c r="F202" s="4">
        <v>26</v>
      </c>
      <c r="G202" s="4">
        <v>0.8</v>
      </c>
      <c r="H202" s="4"/>
    </row>
    <row r="203" spans="1:8" ht="15" customHeight="1" x14ac:dyDescent="0.3">
      <c r="A203" s="4" t="s">
        <v>490</v>
      </c>
      <c r="B203" s="4" t="s">
        <v>469</v>
      </c>
      <c r="C203" s="4" t="s">
        <v>470</v>
      </c>
      <c r="D203" s="4" t="s">
        <v>491</v>
      </c>
      <c r="E203" s="4" t="s">
        <v>71</v>
      </c>
      <c r="F203" s="4">
        <v>58</v>
      </c>
      <c r="G203" s="4">
        <v>1.5</v>
      </c>
      <c r="H203" s="4"/>
    </row>
    <row r="204" spans="1:8" ht="15" customHeight="1" x14ac:dyDescent="0.3">
      <c r="A204" s="4" t="s">
        <v>492</v>
      </c>
      <c r="B204" s="4" t="s">
        <v>469</v>
      </c>
      <c r="C204" s="4" t="s">
        <v>470</v>
      </c>
      <c r="D204" s="4" t="s">
        <v>493</v>
      </c>
      <c r="E204" s="4" t="s">
        <v>71</v>
      </c>
      <c r="F204" s="4">
        <v>38</v>
      </c>
      <c r="G204" s="4">
        <v>1</v>
      </c>
      <c r="H204" s="4"/>
    </row>
    <row r="205" spans="1:8" ht="15" customHeight="1" x14ac:dyDescent="0.3">
      <c r="A205" s="4" t="s">
        <v>494</v>
      </c>
      <c r="B205" s="4" t="s">
        <v>469</v>
      </c>
      <c r="C205" s="4" t="s">
        <v>470</v>
      </c>
      <c r="D205" s="4" t="s">
        <v>495</v>
      </c>
      <c r="E205" s="4" t="s">
        <v>71</v>
      </c>
      <c r="F205" s="4">
        <v>103</v>
      </c>
      <c r="G205" s="4">
        <v>2</v>
      </c>
      <c r="H205" s="4"/>
    </row>
    <row r="206" spans="1:8" ht="15" customHeight="1" x14ac:dyDescent="0.3">
      <c r="A206" s="4" t="s">
        <v>496</v>
      </c>
      <c r="B206" s="4" t="s">
        <v>469</v>
      </c>
      <c r="C206" s="4" t="s">
        <v>470</v>
      </c>
      <c r="D206" s="4" t="s">
        <v>497</v>
      </c>
      <c r="E206" s="4" t="s">
        <v>71</v>
      </c>
      <c r="F206" s="4">
        <v>44</v>
      </c>
      <c r="G206" s="4">
        <v>1</v>
      </c>
      <c r="H206" s="4"/>
    </row>
    <row r="207" spans="1:8" ht="15" customHeight="1" x14ac:dyDescent="0.3">
      <c r="A207" s="4" t="s">
        <v>498</v>
      </c>
      <c r="B207" s="4" t="s">
        <v>469</v>
      </c>
      <c r="C207" s="4" t="s">
        <v>470</v>
      </c>
      <c r="D207" s="4" t="s">
        <v>499</v>
      </c>
      <c r="E207" s="4" t="s">
        <v>71</v>
      </c>
      <c r="F207" s="4">
        <v>38</v>
      </c>
      <c r="G207" s="4">
        <v>1.2</v>
      </c>
      <c r="H207" s="4"/>
    </row>
    <row r="208" spans="1:8" ht="15" customHeight="1" x14ac:dyDescent="0.3">
      <c r="A208" s="4" t="s">
        <v>500</v>
      </c>
      <c r="B208" s="4" t="s">
        <v>469</v>
      </c>
      <c r="C208" s="4" t="s">
        <v>470</v>
      </c>
      <c r="D208" s="4" t="s">
        <v>501</v>
      </c>
      <c r="E208" s="4" t="s">
        <v>71</v>
      </c>
      <c r="F208" s="4">
        <v>53</v>
      </c>
      <c r="G208" s="4">
        <v>1.5</v>
      </c>
      <c r="H208" s="4"/>
    </row>
    <row r="209" spans="1:8" ht="15" customHeight="1" x14ac:dyDescent="0.3">
      <c r="A209" s="4" t="s">
        <v>502</v>
      </c>
      <c r="B209" s="4" t="s">
        <v>469</v>
      </c>
      <c r="C209" s="4" t="s">
        <v>470</v>
      </c>
      <c r="D209" s="4" t="s">
        <v>503</v>
      </c>
      <c r="E209" s="4" t="s">
        <v>71</v>
      </c>
      <c r="F209" s="4">
        <v>26</v>
      </c>
      <c r="G209" s="4">
        <v>0.8</v>
      </c>
      <c r="H209" s="4"/>
    </row>
    <row r="210" spans="1:8" ht="15" customHeight="1" x14ac:dyDescent="0.3">
      <c r="A210" s="4" t="s">
        <v>504</v>
      </c>
      <c r="B210" s="4" t="s">
        <v>469</v>
      </c>
      <c r="C210" s="4" t="s">
        <v>470</v>
      </c>
      <c r="D210" s="4" t="s">
        <v>505</v>
      </c>
      <c r="E210" s="4" t="s">
        <v>71</v>
      </c>
      <c r="F210" s="4">
        <v>64</v>
      </c>
      <c r="G210" s="4">
        <v>1.8</v>
      </c>
      <c r="H210" s="4"/>
    </row>
    <row r="211" spans="1:8" ht="15" customHeight="1" x14ac:dyDescent="0.3">
      <c r="A211" s="4" t="s">
        <v>506</v>
      </c>
      <c r="B211" s="4" t="s">
        <v>469</v>
      </c>
      <c r="C211" s="4" t="s">
        <v>470</v>
      </c>
      <c r="D211" s="4" t="s">
        <v>507</v>
      </c>
      <c r="E211" s="4" t="s">
        <v>71</v>
      </c>
      <c r="F211" s="4">
        <v>44</v>
      </c>
      <c r="G211" s="4">
        <v>1.3</v>
      </c>
      <c r="H211" s="4"/>
    </row>
    <row r="212" spans="1:8" ht="15" customHeight="1" x14ac:dyDescent="0.3">
      <c r="A212" s="4" t="s">
        <v>508</v>
      </c>
      <c r="B212" s="4" t="s">
        <v>469</v>
      </c>
      <c r="C212" s="4" t="s">
        <v>470</v>
      </c>
      <c r="D212" s="4" t="s">
        <v>509</v>
      </c>
      <c r="E212" s="4" t="s">
        <v>71</v>
      </c>
      <c r="F212" s="4">
        <v>47</v>
      </c>
      <c r="G212" s="4">
        <v>1.3</v>
      </c>
      <c r="H212" s="4"/>
    </row>
    <row r="213" spans="1:8" ht="15" customHeight="1" x14ac:dyDescent="0.3">
      <c r="A213" s="4" t="s">
        <v>510</v>
      </c>
      <c r="B213" s="4" t="s">
        <v>469</v>
      </c>
      <c r="C213" s="4" t="s">
        <v>470</v>
      </c>
      <c r="D213" s="4" t="s">
        <v>511</v>
      </c>
      <c r="E213" s="4" t="s">
        <v>71</v>
      </c>
      <c r="F213" s="4">
        <v>56</v>
      </c>
      <c r="G213" s="4">
        <v>1.5</v>
      </c>
      <c r="H213" s="4"/>
    </row>
    <row r="214" spans="1:8" ht="15" customHeight="1" x14ac:dyDescent="0.3">
      <c r="A214" s="4" t="s">
        <v>512</v>
      </c>
      <c r="B214" s="4" t="s">
        <v>469</v>
      </c>
      <c r="C214" s="4" t="s">
        <v>470</v>
      </c>
      <c r="D214" s="4" t="s">
        <v>513</v>
      </c>
      <c r="E214" s="4" t="s">
        <v>71</v>
      </c>
      <c r="F214" s="4">
        <v>32</v>
      </c>
      <c r="G214" s="4">
        <v>0.8</v>
      </c>
      <c r="H214" s="4"/>
    </row>
    <row r="215" spans="1:8" ht="15" customHeight="1" x14ac:dyDescent="0.3">
      <c r="A215" s="4" t="s">
        <v>514</v>
      </c>
      <c r="B215" s="4" t="s">
        <v>469</v>
      </c>
      <c r="C215" s="4" t="s">
        <v>470</v>
      </c>
      <c r="D215" s="4" t="s">
        <v>515</v>
      </c>
      <c r="E215" s="4" t="s">
        <v>71</v>
      </c>
      <c r="F215" s="4">
        <v>23</v>
      </c>
      <c r="G215" s="4">
        <v>0.7</v>
      </c>
      <c r="H215" s="4"/>
    </row>
    <row r="216" spans="1:8" ht="15" customHeight="1" x14ac:dyDescent="0.3">
      <c r="A216" s="4" t="s">
        <v>516</v>
      </c>
      <c r="B216" s="4" t="s">
        <v>469</v>
      </c>
      <c r="C216" s="4" t="s">
        <v>470</v>
      </c>
      <c r="D216" s="4" t="s">
        <v>517</v>
      </c>
      <c r="E216" s="4" t="s">
        <v>71</v>
      </c>
      <c r="F216" s="4">
        <v>21</v>
      </c>
      <c r="G216" s="4">
        <v>0.6</v>
      </c>
      <c r="H216" s="4"/>
    </row>
    <row r="217" spans="1:8" ht="15" customHeight="1" x14ac:dyDescent="0.3">
      <c r="A217" s="4" t="s">
        <v>518</v>
      </c>
      <c r="B217" s="4" t="s">
        <v>469</v>
      </c>
      <c r="C217" s="4" t="s">
        <v>470</v>
      </c>
      <c r="D217" s="4" t="s">
        <v>519</v>
      </c>
      <c r="E217" s="4" t="s">
        <v>71</v>
      </c>
      <c r="F217" s="4">
        <v>44</v>
      </c>
      <c r="G217" s="4">
        <v>1.3</v>
      </c>
      <c r="H217" s="4"/>
    </row>
    <row r="218" spans="1:8" ht="15" customHeight="1" x14ac:dyDescent="0.3">
      <c r="A218" s="4" t="s">
        <v>520</v>
      </c>
      <c r="B218" s="4" t="s">
        <v>469</v>
      </c>
      <c r="C218" s="4" t="s">
        <v>470</v>
      </c>
      <c r="D218" s="4" t="s">
        <v>521</v>
      </c>
      <c r="E218" s="4" t="s">
        <v>71</v>
      </c>
      <c r="F218" s="4">
        <v>29</v>
      </c>
      <c r="G218" s="4">
        <v>0.9</v>
      </c>
      <c r="H218" s="4"/>
    </row>
    <row r="219" spans="1:8" ht="15" customHeight="1" x14ac:dyDescent="0.3">
      <c r="A219" s="4" t="s">
        <v>522</v>
      </c>
      <c r="B219" s="4" t="s">
        <v>469</v>
      </c>
      <c r="C219" s="4" t="s">
        <v>470</v>
      </c>
      <c r="D219" s="4" t="s">
        <v>523</v>
      </c>
      <c r="E219" s="4" t="s">
        <v>71</v>
      </c>
      <c r="F219" s="4">
        <v>26</v>
      </c>
      <c r="G219" s="4">
        <v>0.8</v>
      </c>
      <c r="H219" s="4"/>
    </row>
    <row r="220" spans="1:8" ht="15" customHeight="1" x14ac:dyDescent="0.3">
      <c r="A220" s="4" t="s">
        <v>524</v>
      </c>
      <c r="B220" s="4" t="s">
        <v>469</v>
      </c>
      <c r="C220" s="4" t="s">
        <v>470</v>
      </c>
      <c r="D220" s="4" t="s">
        <v>525</v>
      </c>
      <c r="E220" s="4" t="s">
        <v>71</v>
      </c>
      <c r="F220" s="4">
        <v>44</v>
      </c>
      <c r="G220" s="4">
        <v>1.5</v>
      </c>
      <c r="H220" s="4"/>
    </row>
    <row r="221" spans="1:8" ht="15" customHeight="1" x14ac:dyDescent="0.3">
      <c r="A221" s="4" t="s">
        <v>526</v>
      </c>
      <c r="B221" s="4" t="s">
        <v>469</v>
      </c>
      <c r="C221" s="4" t="s">
        <v>470</v>
      </c>
      <c r="D221" s="4" t="s">
        <v>527</v>
      </c>
      <c r="E221" s="4" t="s">
        <v>71</v>
      </c>
      <c r="F221" s="4">
        <v>64</v>
      </c>
      <c r="G221" s="4">
        <v>1.8</v>
      </c>
      <c r="H221" s="4"/>
    </row>
    <row r="222" spans="1:8" ht="15" customHeight="1" x14ac:dyDescent="0.3">
      <c r="A222" s="4" t="s">
        <v>528</v>
      </c>
      <c r="B222" s="4" t="s">
        <v>469</v>
      </c>
      <c r="C222" s="4" t="s">
        <v>470</v>
      </c>
      <c r="D222" s="4" t="s">
        <v>529</v>
      </c>
      <c r="E222" s="4" t="s">
        <v>71</v>
      </c>
      <c r="F222" s="4">
        <v>38</v>
      </c>
      <c r="G222" s="4">
        <v>1.2</v>
      </c>
      <c r="H222" s="4"/>
    </row>
    <row r="223" spans="1:8" ht="15" customHeight="1" x14ac:dyDescent="0.3">
      <c r="A223" s="4" t="s">
        <v>530</v>
      </c>
      <c r="B223" s="4" t="s">
        <v>469</v>
      </c>
      <c r="C223" s="4" t="s">
        <v>470</v>
      </c>
      <c r="D223" s="4" t="s">
        <v>531</v>
      </c>
      <c r="E223" s="4" t="s">
        <v>71</v>
      </c>
      <c r="F223" s="4">
        <v>32</v>
      </c>
      <c r="G223" s="4">
        <v>0.9</v>
      </c>
      <c r="H223" s="4"/>
    </row>
    <row r="224" spans="1:8" ht="15" customHeight="1" x14ac:dyDescent="0.3">
      <c r="A224" s="4" t="s">
        <v>532</v>
      </c>
      <c r="B224" s="4" t="s">
        <v>469</v>
      </c>
      <c r="C224" s="4" t="s">
        <v>470</v>
      </c>
      <c r="D224" s="4" t="s">
        <v>533</v>
      </c>
      <c r="E224" s="4" t="s">
        <v>71</v>
      </c>
      <c r="F224" s="4">
        <v>29</v>
      </c>
      <c r="G224" s="4">
        <v>0.8</v>
      </c>
      <c r="H224" s="4"/>
    </row>
    <row r="225" spans="1:8" ht="15" customHeight="1" x14ac:dyDescent="0.3">
      <c r="A225" s="4" t="s">
        <v>534</v>
      </c>
      <c r="B225" s="4" t="s">
        <v>469</v>
      </c>
      <c r="C225" s="4" t="s">
        <v>470</v>
      </c>
      <c r="D225" s="4" t="s">
        <v>535</v>
      </c>
      <c r="E225" s="4" t="s">
        <v>71</v>
      </c>
      <c r="F225" s="4">
        <v>44</v>
      </c>
      <c r="G225" s="4">
        <v>1.3</v>
      </c>
      <c r="H225" s="4"/>
    </row>
    <row r="226" spans="1:8" ht="15" customHeight="1" x14ac:dyDescent="0.3">
      <c r="A226" s="4" t="s">
        <v>536</v>
      </c>
      <c r="B226" s="4" t="s">
        <v>469</v>
      </c>
      <c r="C226" s="4" t="s">
        <v>470</v>
      </c>
      <c r="D226" s="4" t="s">
        <v>537</v>
      </c>
      <c r="E226" s="4" t="s">
        <v>71</v>
      </c>
      <c r="F226" s="4">
        <v>35</v>
      </c>
      <c r="G226" s="4">
        <v>1</v>
      </c>
      <c r="H226" s="4"/>
    </row>
    <row r="227" spans="1:8" ht="15" customHeight="1" x14ac:dyDescent="0.3">
      <c r="A227" s="4" t="s">
        <v>538</v>
      </c>
      <c r="B227" s="4" t="s">
        <v>469</v>
      </c>
      <c r="C227" s="4" t="s">
        <v>470</v>
      </c>
      <c r="D227" s="4" t="s">
        <v>539</v>
      </c>
      <c r="E227" s="4" t="s">
        <v>71</v>
      </c>
      <c r="F227" s="4">
        <v>32</v>
      </c>
      <c r="G227" s="4">
        <v>0.9</v>
      </c>
      <c r="H227" s="4"/>
    </row>
    <row r="228" spans="1:8" ht="15" customHeight="1" x14ac:dyDescent="0.3">
      <c r="A228" s="4" t="s">
        <v>540</v>
      </c>
      <c r="B228" s="4" t="s">
        <v>469</v>
      </c>
      <c r="C228" s="4" t="s">
        <v>470</v>
      </c>
      <c r="D228" s="4" t="s">
        <v>541</v>
      </c>
      <c r="E228" s="4" t="s">
        <v>71</v>
      </c>
      <c r="F228" s="4">
        <v>29</v>
      </c>
      <c r="G228" s="4">
        <v>0.9</v>
      </c>
      <c r="H228" s="4"/>
    </row>
    <row r="229" spans="1:8" ht="15" customHeight="1" x14ac:dyDescent="0.3">
      <c r="A229" s="4" t="s">
        <v>542</v>
      </c>
      <c r="B229" s="4" t="s">
        <v>469</v>
      </c>
      <c r="C229" s="4" t="s">
        <v>470</v>
      </c>
      <c r="D229" s="4" t="s">
        <v>543</v>
      </c>
      <c r="E229" s="4" t="s">
        <v>154</v>
      </c>
      <c r="F229" s="4">
        <v>8</v>
      </c>
      <c r="G229" s="4">
        <v>1.66</v>
      </c>
      <c r="H229" s="4"/>
    </row>
    <row r="230" spans="1:8" ht="15" customHeight="1" x14ac:dyDescent="0.3">
      <c r="A230" s="4" t="s">
        <v>544</v>
      </c>
      <c r="B230" s="4" t="s">
        <v>469</v>
      </c>
      <c r="C230" s="4" t="s">
        <v>470</v>
      </c>
      <c r="D230" s="4" t="s">
        <v>545</v>
      </c>
      <c r="E230" s="4" t="s">
        <v>154</v>
      </c>
      <c r="F230" s="4">
        <v>6</v>
      </c>
      <c r="G230" s="4">
        <v>1.38</v>
      </c>
      <c r="H230" s="4"/>
    </row>
    <row r="231" spans="1:8" ht="15" customHeight="1" x14ac:dyDescent="0.3">
      <c r="A231" s="4" t="s">
        <v>546</v>
      </c>
      <c r="B231" s="4" t="s">
        <v>469</v>
      </c>
      <c r="C231" s="4" t="s">
        <v>470</v>
      </c>
      <c r="D231" s="4" t="s">
        <v>547</v>
      </c>
      <c r="E231" s="4" t="s">
        <v>154</v>
      </c>
      <c r="F231" s="4">
        <v>5</v>
      </c>
      <c r="G231" s="4">
        <v>0.17</v>
      </c>
      <c r="H231" s="4"/>
    </row>
    <row r="232" spans="1:8" ht="15" customHeight="1" x14ac:dyDescent="0.3">
      <c r="A232" s="4" t="s">
        <v>548</v>
      </c>
      <c r="B232" s="4" t="s">
        <v>469</v>
      </c>
      <c r="C232" s="4" t="s">
        <v>470</v>
      </c>
      <c r="D232" s="4" t="s">
        <v>549</v>
      </c>
      <c r="E232" s="4" t="s">
        <v>154</v>
      </c>
      <c r="F232" s="4">
        <v>5</v>
      </c>
      <c r="G232" s="4">
        <v>0.83</v>
      </c>
      <c r="H232" s="4"/>
    </row>
    <row r="233" spans="1:8" ht="15" customHeight="1" x14ac:dyDescent="0.3">
      <c r="A233" s="4" t="s">
        <v>550</v>
      </c>
      <c r="B233" s="4" t="s">
        <v>469</v>
      </c>
      <c r="C233" s="4" t="s">
        <v>470</v>
      </c>
      <c r="D233" s="4" t="s">
        <v>551</v>
      </c>
      <c r="E233" s="4" t="s">
        <v>154</v>
      </c>
      <c r="F233" s="4">
        <v>5</v>
      </c>
      <c r="G233" s="4">
        <v>0.55000000000000004</v>
      </c>
      <c r="H233" s="4"/>
    </row>
    <row r="234" spans="1:8" ht="15" customHeight="1" x14ac:dyDescent="0.3">
      <c r="A234" s="4" t="s">
        <v>552</v>
      </c>
      <c r="B234" s="4" t="s">
        <v>469</v>
      </c>
      <c r="C234" s="4" t="s">
        <v>470</v>
      </c>
      <c r="D234" s="4" t="s">
        <v>553</v>
      </c>
      <c r="E234" s="4" t="s">
        <v>154</v>
      </c>
      <c r="F234" s="4">
        <v>5</v>
      </c>
      <c r="G234" s="4">
        <v>0.33</v>
      </c>
      <c r="H234" s="4"/>
    </row>
    <row r="235" spans="1:8" ht="15" customHeight="1" x14ac:dyDescent="0.3">
      <c r="A235" s="4" t="s">
        <v>554</v>
      </c>
      <c r="B235" s="4" t="s">
        <v>469</v>
      </c>
      <c r="C235" s="4" t="s">
        <v>470</v>
      </c>
      <c r="D235" s="4" t="s">
        <v>555</v>
      </c>
      <c r="E235" s="4" t="s">
        <v>154</v>
      </c>
      <c r="F235" s="4">
        <v>6</v>
      </c>
      <c r="G235" s="4">
        <v>0.99</v>
      </c>
      <c r="H235" s="4"/>
    </row>
    <row r="236" spans="1:8" ht="15" customHeight="1" x14ac:dyDescent="0.3">
      <c r="A236" s="4" t="s">
        <v>556</v>
      </c>
      <c r="B236" s="4" t="s">
        <v>469</v>
      </c>
      <c r="C236" s="4" t="s">
        <v>470</v>
      </c>
      <c r="D236" s="4" t="s">
        <v>557</v>
      </c>
      <c r="E236" s="4" t="s">
        <v>154</v>
      </c>
      <c r="F236" s="4">
        <v>9</v>
      </c>
      <c r="G236" s="4">
        <v>1.38</v>
      </c>
      <c r="H236" s="4"/>
    </row>
    <row r="237" spans="1:8" ht="15" customHeight="1" x14ac:dyDescent="0.3">
      <c r="A237" s="4" t="s">
        <v>558</v>
      </c>
      <c r="B237" s="4" t="s">
        <v>469</v>
      </c>
      <c r="C237" s="4" t="s">
        <v>470</v>
      </c>
      <c r="D237" s="4" t="s">
        <v>559</v>
      </c>
      <c r="E237" s="4" t="s">
        <v>154</v>
      </c>
      <c r="F237" s="4">
        <v>8</v>
      </c>
      <c r="G237" s="4">
        <v>1.1000000000000001</v>
      </c>
      <c r="H237" s="4"/>
    </row>
    <row r="238" spans="1:8" ht="15" customHeight="1" x14ac:dyDescent="0.3">
      <c r="A238" s="4" t="s">
        <v>560</v>
      </c>
      <c r="B238" s="4" t="s">
        <v>469</v>
      </c>
      <c r="C238" s="4" t="s">
        <v>470</v>
      </c>
      <c r="D238" s="4" t="s">
        <v>561</v>
      </c>
      <c r="E238" s="4" t="s">
        <v>154</v>
      </c>
      <c r="F238" s="4">
        <v>6</v>
      </c>
      <c r="G238" s="4">
        <v>0.99</v>
      </c>
      <c r="H238" s="4"/>
    </row>
    <row r="239" spans="1:8" ht="15" customHeight="1" x14ac:dyDescent="0.3">
      <c r="A239" s="4" t="s">
        <v>562</v>
      </c>
      <c r="B239" s="4" t="s">
        <v>469</v>
      </c>
      <c r="C239" s="4" t="s">
        <v>470</v>
      </c>
      <c r="D239" s="4" t="s">
        <v>563</v>
      </c>
      <c r="E239" s="4" t="s">
        <v>154</v>
      </c>
      <c r="F239" s="4">
        <v>7</v>
      </c>
      <c r="G239" s="4">
        <v>1.1000000000000001</v>
      </c>
      <c r="H239" s="4"/>
    </row>
    <row r="240" spans="1:8" ht="15" customHeight="1" x14ac:dyDescent="0.3">
      <c r="A240" s="4" t="s">
        <v>564</v>
      </c>
      <c r="B240" s="4" t="s">
        <v>469</v>
      </c>
      <c r="C240" s="4" t="s">
        <v>470</v>
      </c>
      <c r="D240" s="4" t="s">
        <v>565</v>
      </c>
      <c r="E240" s="4" t="s">
        <v>154</v>
      </c>
      <c r="F240" s="4">
        <v>5</v>
      </c>
      <c r="G240" s="4">
        <v>0.83</v>
      </c>
      <c r="H240" s="4"/>
    </row>
    <row r="241" spans="1:8" ht="15" customHeight="1" x14ac:dyDescent="0.3">
      <c r="A241" s="4" t="s">
        <v>566</v>
      </c>
      <c r="B241" s="4" t="s">
        <v>469</v>
      </c>
      <c r="C241" s="4" t="s">
        <v>470</v>
      </c>
      <c r="D241" s="4" t="s">
        <v>567</v>
      </c>
      <c r="E241" s="4" t="s">
        <v>154</v>
      </c>
      <c r="F241" s="4">
        <v>6</v>
      </c>
      <c r="G241" s="4">
        <v>0.99</v>
      </c>
      <c r="H241" s="4"/>
    </row>
    <row r="242" spans="1:8" ht="15" customHeight="1" x14ac:dyDescent="0.3">
      <c r="A242" s="4" t="s">
        <v>568</v>
      </c>
      <c r="B242" s="4" t="s">
        <v>469</v>
      </c>
      <c r="C242" s="4" t="s">
        <v>470</v>
      </c>
      <c r="D242" s="4" t="s">
        <v>569</v>
      </c>
      <c r="E242" s="4" t="s">
        <v>154</v>
      </c>
      <c r="F242" s="4">
        <v>5</v>
      </c>
      <c r="G242" s="4">
        <v>0.66</v>
      </c>
      <c r="H242" s="4"/>
    </row>
    <row r="243" spans="1:8" ht="15" customHeight="1" x14ac:dyDescent="0.3">
      <c r="A243" s="4" t="s">
        <v>570</v>
      </c>
      <c r="B243" s="4" t="s">
        <v>469</v>
      </c>
      <c r="C243" s="4" t="s">
        <v>470</v>
      </c>
      <c r="D243" s="4" t="s">
        <v>571</v>
      </c>
      <c r="E243" s="4" t="s">
        <v>154</v>
      </c>
      <c r="F243" s="4">
        <v>5</v>
      </c>
      <c r="G243" s="4">
        <v>0.83</v>
      </c>
      <c r="H243" s="4"/>
    </row>
    <row r="244" spans="1:8" ht="15" customHeight="1" x14ac:dyDescent="0.3">
      <c r="A244" s="4" t="s">
        <v>572</v>
      </c>
      <c r="B244" s="4" t="s">
        <v>469</v>
      </c>
      <c r="C244" s="4" t="s">
        <v>470</v>
      </c>
      <c r="D244" s="4" t="s">
        <v>573</v>
      </c>
      <c r="E244" s="4" t="s">
        <v>154</v>
      </c>
      <c r="F244" s="4">
        <v>5</v>
      </c>
      <c r="G244" s="4">
        <v>0.22</v>
      </c>
      <c r="H244" s="4"/>
    </row>
    <row r="245" spans="1:8" ht="15" customHeight="1" x14ac:dyDescent="0.3">
      <c r="A245" s="4" t="s">
        <v>574</v>
      </c>
      <c r="B245" s="4" t="s">
        <v>469</v>
      </c>
      <c r="C245" s="4" t="s">
        <v>470</v>
      </c>
      <c r="D245" s="4" t="s">
        <v>575</v>
      </c>
      <c r="E245" s="4" t="s">
        <v>154</v>
      </c>
      <c r="F245" s="4">
        <v>5</v>
      </c>
      <c r="G245" s="4">
        <v>0.83</v>
      </c>
      <c r="H245" s="4"/>
    </row>
    <row r="246" spans="1:8" ht="15" customHeight="1" x14ac:dyDescent="0.3">
      <c r="A246" s="4" t="s">
        <v>576</v>
      </c>
      <c r="B246" s="4" t="s">
        <v>469</v>
      </c>
      <c r="C246" s="4" t="s">
        <v>470</v>
      </c>
      <c r="D246" s="4" t="s">
        <v>577</v>
      </c>
      <c r="E246" s="4" t="s">
        <v>154</v>
      </c>
      <c r="F246" s="4">
        <v>5</v>
      </c>
      <c r="G246" s="4">
        <v>0.88</v>
      </c>
      <c r="H246" s="4"/>
    </row>
    <row r="247" spans="1:8" ht="15" customHeight="1" x14ac:dyDescent="0.3">
      <c r="A247" s="4" t="s">
        <v>578</v>
      </c>
      <c r="B247" s="4" t="s">
        <v>469</v>
      </c>
      <c r="C247" s="4" t="s">
        <v>470</v>
      </c>
      <c r="D247" s="4" t="s">
        <v>579</v>
      </c>
      <c r="E247" s="4" t="s">
        <v>154</v>
      </c>
      <c r="F247" s="4">
        <v>18</v>
      </c>
      <c r="G247" s="4">
        <v>2.4900000000000002</v>
      </c>
      <c r="H247" s="4"/>
    </row>
    <row r="248" spans="1:8" ht="15" customHeight="1" x14ac:dyDescent="0.3">
      <c r="A248" s="4" t="s">
        <v>580</v>
      </c>
      <c r="B248" s="4" t="s">
        <v>469</v>
      </c>
      <c r="C248" s="4" t="s">
        <v>470</v>
      </c>
      <c r="D248" s="4" t="s">
        <v>581</v>
      </c>
      <c r="E248" s="4" t="s">
        <v>154</v>
      </c>
      <c r="F248" s="4">
        <v>36</v>
      </c>
      <c r="G248" s="4">
        <v>3.87</v>
      </c>
      <c r="H248" s="4"/>
    </row>
    <row r="249" spans="1:8" ht="15" customHeight="1" x14ac:dyDescent="0.3">
      <c r="A249" s="4" t="s">
        <v>582</v>
      </c>
      <c r="B249" s="4" t="s">
        <v>469</v>
      </c>
      <c r="C249" s="4" t="s">
        <v>470</v>
      </c>
      <c r="D249" s="4" t="s">
        <v>583</v>
      </c>
      <c r="E249" s="4" t="s">
        <v>154</v>
      </c>
      <c r="F249" s="4">
        <v>24</v>
      </c>
      <c r="G249" s="4">
        <v>2.76</v>
      </c>
      <c r="H249" s="4"/>
    </row>
    <row r="250" spans="1:8" ht="15" customHeight="1" x14ac:dyDescent="0.3">
      <c r="A250" s="4" t="s">
        <v>584</v>
      </c>
      <c r="B250" s="4" t="s">
        <v>469</v>
      </c>
      <c r="C250" s="4" t="s">
        <v>470</v>
      </c>
      <c r="D250" s="4" t="s">
        <v>585</v>
      </c>
      <c r="E250" s="4" t="s">
        <v>154</v>
      </c>
      <c r="F250" s="4">
        <v>6</v>
      </c>
      <c r="G250" s="4">
        <v>1.38</v>
      </c>
      <c r="H250" s="4"/>
    </row>
    <row r="251" spans="1:8" ht="15" customHeight="1" x14ac:dyDescent="0.3">
      <c r="A251" s="4" t="s">
        <v>586</v>
      </c>
      <c r="B251" s="4" t="s">
        <v>469</v>
      </c>
      <c r="C251" s="4" t="s">
        <v>470</v>
      </c>
      <c r="D251" s="4" t="s">
        <v>587</v>
      </c>
      <c r="E251" s="4" t="s">
        <v>154</v>
      </c>
      <c r="F251" s="4">
        <v>5</v>
      </c>
      <c r="G251" s="4">
        <v>0.55000000000000004</v>
      </c>
      <c r="H251" s="4"/>
    </row>
    <row r="253" spans="1:8" ht="15" customHeight="1" x14ac:dyDescent="0.3">
      <c r="A253" s="12" t="s">
        <v>588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zoomScaleNormal="100" workbookViewId="0">
      <selection sqref="A1:XFD1048576"/>
    </sheetView>
  </sheetViews>
  <sheetFormatPr baseColWidth="10" defaultColWidth="8.6640625" defaultRowHeight="14.4" x14ac:dyDescent="0.3"/>
  <cols>
    <col min="1" max="1" width="28" style="3" customWidth="1"/>
    <col min="2" max="2" width="42" style="3" customWidth="1"/>
    <col min="3" max="4" width="22" style="3" customWidth="1"/>
    <col min="5" max="16384" width="8.6640625" style="3"/>
  </cols>
  <sheetData>
    <row r="1" spans="1:4" ht="15" customHeight="1" x14ac:dyDescent="0.3">
      <c r="A1" s="1" t="s">
        <v>589</v>
      </c>
      <c r="B1" s="1" t="s">
        <v>590</v>
      </c>
      <c r="C1" s="1" t="s">
        <v>591</v>
      </c>
      <c r="D1" s="1" t="s">
        <v>592</v>
      </c>
    </row>
    <row r="2" spans="1:4" ht="15" customHeight="1" x14ac:dyDescent="0.3">
      <c r="A2" s="4" t="s">
        <v>593</v>
      </c>
      <c r="B2" s="4" t="s">
        <v>594</v>
      </c>
      <c r="C2" s="4" t="s">
        <v>595</v>
      </c>
      <c r="D2" s="4">
        <v>1</v>
      </c>
    </row>
    <row r="3" spans="1:4" ht="15" customHeight="1" x14ac:dyDescent="0.3">
      <c r="A3" s="4" t="s">
        <v>596</v>
      </c>
      <c r="B3" s="4" t="s">
        <v>597</v>
      </c>
      <c r="C3" s="4" t="s">
        <v>598</v>
      </c>
      <c r="D3" s="4">
        <v>1.1000000000000001</v>
      </c>
    </row>
    <row r="4" spans="1:4" ht="15" customHeight="1" x14ac:dyDescent="0.3">
      <c r="A4" s="4" t="s">
        <v>599</v>
      </c>
      <c r="B4" s="4" t="s">
        <v>600</v>
      </c>
      <c r="C4" s="4" t="s">
        <v>601</v>
      </c>
      <c r="D4" s="4">
        <v>1.2</v>
      </c>
    </row>
    <row r="5" spans="1:4" ht="15" customHeight="1" x14ac:dyDescent="0.3">
      <c r="A5" s="4" t="s">
        <v>602</v>
      </c>
      <c r="B5" s="4" t="s">
        <v>603</v>
      </c>
      <c r="C5" s="4" t="s">
        <v>604</v>
      </c>
      <c r="D5" s="4">
        <v>1.4</v>
      </c>
    </row>
    <row r="6" spans="1:4" ht="15" customHeight="1" x14ac:dyDescent="0.3">
      <c r="A6" s="4" t="s">
        <v>605</v>
      </c>
      <c r="B6" s="4" t="s">
        <v>606</v>
      </c>
      <c r="C6" s="4" t="s">
        <v>607</v>
      </c>
      <c r="D6" s="4">
        <v>1.3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tabSelected="1" zoomScaleNormal="100" workbookViewId="0">
      <selection sqref="A1:XFD1048576"/>
    </sheetView>
  </sheetViews>
  <sheetFormatPr baseColWidth="10" defaultColWidth="8.6640625" defaultRowHeight="14.4" x14ac:dyDescent="0.3"/>
  <cols>
    <col min="1" max="1" width="22" style="3" customWidth="1"/>
    <col min="2" max="2" width="60" style="3" customWidth="1"/>
    <col min="3" max="3" width="26" style="3" customWidth="1"/>
    <col min="4" max="16384" width="8.6640625" style="3"/>
  </cols>
  <sheetData>
    <row r="1" spans="1:3" ht="15" customHeight="1" x14ac:dyDescent="0.3">
      <c r="A1" s="1" t="s">
        <v>608</v>
      </c>
      <c r="B1" s="1" t="s">
        <v>590</v>
      </c>
      <c r="C1" s="1" t="s">
        <v>609</v>
      </c>
    </row>
    <row r="2" spans="1:3" ht="15" customHeight="1" x14ac:dyDescent="0.3">
      <c r="A2" s="4" t="s">
        <v>610</v>
      </c>
      <c r="B2" s="4" t="s">
        <v>611</v>
      </c>
      <c r="C2" s="4">
        <v>1</v>
      </c>
    </row>
    <row r="3" spans="1:3" ht="15" customHeight="1" x14ac:dyDescent="0.3">
      <c r="A3" s="4" t="s">
        <v>612</v>
      </c>
      <c r="B3" s="4" t="s">
        <v>613</v>
      </c>
      <c r="C3" s="4">
        <v>1.1000000000000001</v>
      </c>
    </row>
    <row r="4" spans="1:3" ht="15" customHeight="1" x14ac:dyDescent="0.3">
      <c r="A4" s="4" t="s">
        <v>614</v>
      </c>
      <c r="B4" s="4" t="s">
        <v>615</v>
      </c>
      <c r="C4" s="4">
        <v>1.25</v>
      </c>
    </row>
    <row r="5" spans="1:3" ht="15" customHeight="1" x14ac:dyDescent="0.3">
      <c r="A5" s="4" t="s">
        <v>616</v>
      </c>
      <c r="B5" s="4" t="s">
        <v>617</v>
      </c>
      <c r="C5" s="4">
        <v>1.45</v>
      </c>
    </row>
    <row r="6" spans="1:3" ht="15" customHeight="1" x14ac:dyDescent="0.3">
      <c r="A6" s="4" t="s">
        <v>618</v>
      </c>
      <c r="B6" s="4" t="s">
        <v>619</v>
      </c>
      <c r="C6" s="4">
        <v>1.7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tabSelected="1" zoomScaleNormal="100" workbookViewId="0">
      <selection sqref="A1:XFD1048576"/>
    </sheetView>
  </sheetViews>
  <sheetFormatPr baseColWidth="10" defaultColWidth="8.6640625" defaultRowHeight="14.4" x14ac:dyDescent="0.3"/>
  <cols>
    <col min="1" max="1" width="30" style="3" customWidth="1"/>
    <col min="2" max="2" width="20" style="3" customWidth="1"/>
    <col min="3" max="3" width="42" style="3" customWidth="1"/>
    <col min="4" max="4" width="24" style="3" customWidth="1"/>
    <col min="5" max="16384" width="8.6640625" style="3"/>
  </cols>
  <sheetData>
    <row r="1" spans="1:4" ht="15" customHeight="1" x14ac:dyDescent="0.3">
      <c r="A1" s="1" t="s">
        <v>620</v>
      </c>
      <c r="B1" s="1" t="s">
        <v>621</v>
      </c>
      <c r="C1" s="1" t="s">
        <v>590</v>
      </c>
      <c r="D1" s="1" t="s">
        <v>622</v>
      </c>
    </row>
    <row r="2" spans="1:4" ht="15" customHeight="1" x14ac:dyDescent="0.3">
      <c r="A2" s="4" t="s">
        <v>623</v>
      </c>
      <c r="B2" s="4" t="s">
        <v>624</v>
      </c>
      <c r="C2" s="4" t="s">
        <v>625</v>
      </c>
      <c r="D2" s="4">
        <v>1.1499999999999999</v>
      </c>
    </row>
    <row r="3" spans="1:4" ht="15" customHeight="1" x14ac:dyDescent="0.3">
      <c r="A3" s="4" t="s">
        <v>626</v>
      </c>
      <c r="B3" s="4" t="s">
        <v>627</v>
      </c>
      <c r="C3" s="4" t="s">
        <v>628</v>
      </c>
      <c r="D3" s="4">
        <v>1.08</v>
      </c>
    </row>
    <row r="4" spans="1:4" ht="15" customHeight="1" x14ac:dyDescent="0.3">
      <c r="A4" s="4" t="s">
        <v>629</v>
      </c>
      <c r="B4" s="4" t="s">
        <v>630</v>
      </c>
      <c r="C4" s="4" t="s">
        <v>631</v>
      </c>
      <c r="D4" s="4">
        <v>1</v>
      </c>
    </row>
    <row r="5" spans="1:4" ht="15" customHeight="1" x14ac:dyDescent="0.3">
      <c r="A5" s="4" t="s">
        <v>632</v>
      </c>
      <c r="B5" s="4" t="s">
        <v>633</v>
      </c>
      <c r="C5" s="4" t="s">
        <v>634</v>
      </c>
      <c r="D5" s="4">
        <v>0.92</v>
      </c>
    </row>
    <row r="6" spans="1:4" ht="15" customHeight="1" x14ac:dyDescent="0.3">
      <c r="A6" s="4" t="s">
        <v>635</v>
      </c>
      <c r="B6" s="4" t="s">
        <v>636</v>
      </c>
      <c r="C6" s="4" t="s">
        <v>637</v>
      </c>
      <c r="D6" s="4">
        <v>1.25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7"/>
  <sheetViews>
    <sheetView tabSelected="1" zoomScaleNormal="100" workbookViewId="0">
      <selection sqref="A1:XFD1048576"/>
    </sheetView>
  </sheetViews>
  <sheetFormatPr baseColWidth="10" defaultColWidth="8.6640625" defaultRowHeight="14.4" x14ac:dyDescent="0.3"/>
  <cols>
    <col min="1" max="1" width="20" style="3" customWidth="1"/>
    <col min="2" max="2" width="26" style="3" customWidth="1"/>
    <col min="3" max="3" width="12" style="3" customWidth="1"/>
    <col min="4" max="4" width="30" style="3" customWidth="1"/>
    <col min="5" max="6" width="26" style="3" customWidth="1"/>
    <col min="7" max="7" width="24" style="3" customWidth="1"/>
    <col min="8" max="8" width="46" style="3" customWidth="1"/>
    <col min="9" max="16384" width="8.6640625" style="3"/>
  </cols>
  <sheetData>
    <row r="1" spans="1:8" ht="23.25" customHeight="1" x14ac:dyDescent="0.3">
      <c r="A1" s="1" t="s">
        <v>638</v>
      </c>
      <c r="B1" s="1" t="s">
        <v>639</v>
      </c>
      <c r="C1" s="1" t="s">
        <v>640</v>
      </c>
      <c r="D1" s="1" t="s">
        <v>641</v>
      </c>
      <c r="E1" s="1" t="s">
        <v>642</v>
      </c>
      <c r="F1" s="1" t="s">
        <v>643</v>
      </c>
      <c r="G1" s="1" t="s">
        <v>644</v>
      </c>
      <c r="H1" s="1" t="s">
        <v>645</v>
      </c>
    </row>
    <row r="2" spans="1:8" ht="15" customHeight="1" x14ac:dyDescent="0.3">
      <c r="A2" s="4" t="s">
        <v>646</v>
      </c>
      <c r="B2" s="4" t="s">
        <v>647</v>
      </c>
      <c r="C2" s="4" t="s">
        <v>648</v>
      </c>
      <c r="D2" s="4">
        <v>3.1</v>
      </c>
      <c r="E2" s="4">
        <v>35</v>
      </c>
      <c r="F2" s="4">
        <v>1</v>
      </c>
      <c r="G2" s="4">
        <v>1.1000000000000001</v>
      </c>
      <c r="H2" s="4" t="s">
        <v>649</v>
      </c>
    </row>
    <row r="3" spans="1:8" ht="15" customHeight="1" x14ac:dyDescent="0.3">
      <c r="A3" s="4" t="s">
        <v>650</v>
      </c>
      <c r="B3" s="4" t="s">
        <v>651</v>
      </c>
      <c r="C3" s="4" t="s">
        <v>652</v>
      </c>
      <c r="D3" s="4">
        <v>9.9499999999999993</v>
      </c>
      <c r="E3" s="4">
        <v>110</v>
      </c>
      <c r="F3" s="4">
        <v>1.05</v>
      </c>
      <c r="G3" s="4">
        <v>1.1000000000000001</v>
      </c>
      <c r="H3" s="4" t="s">
        <v>653</v>
      </c>
    </row>
    <row r="4" spans="1:8" ht="15" customHeight="1" x14ac:dyDescent="0.3">
      <c r="A4" s="4" t="s">
        <v>654</v>
      </c>
      <c r="B4" s="4" t="s">
        <v>655</v>
      </c>
      <c r="C4" s="4" t="s">
        <v>656</v>
      </c>
      <c r="D4" s="4">
        <v>134</v>
      </c>
      <c r="E4" s="4">
        <v>850</v>
      </c>
      <c r="F4" s="4">
        <v>0.9</v>
      </c>
      <c r="G4" s="4">
        <v>1.1499999999999999</v>
      </c>
      <c r="H4" s="4" t="s">
        <v>657</v>
      </c>
    </row>
    <row r="5" spans="1:8" ht="15" customHeight="1" x14ac:dyDescent="0.3">
      <c r="A5" s="4" t="s">
        <v>658</v>
      </c>
      <c r="B5" s="4" t="s">
        <v>659</v>
      </c>
      <c r="C5" s="4" t="s">
        <v>660</v>
      </c>
      <c r="D5" s="4">
        <v>49.5</v>
      </c>
      <c r="E5" s="4">
        <v>200</v>
      </c>
      <c r="F5" s="4">
        <v>0.88</v>
      </c>
      <c r="G5" s="4">
        <v>1.2</v>
      </c>
      <c r="H5" s="4" t="s">
        <v>661</v>
      </c>
    </row>
    <row r="6" spans="1:8" ht="15" customHeight="1" x14ac:dyDescent="0.3">
      <c r="A6" s="4" t="s">
        <v>662</v>
      </c>
      <c r="B6" s="4" t="s">
        <v>663</v>
      </c>
      <c r="C6" s="4" t="s">
        <v>664</v>
      </c>
      <c r="D6" s="4">
        <v>4.8499999999999996</v>
      </c>
      <c r="E6" s="4">
        <v>33</v>
      </c>
      <c r="F6" s="4">
        <v>0.9</v>
      </c>
      <c r="G6" s="4">
        <v>1.1499999999999999</v>
      </c>
      <c r="H6" s="4" t="s">
        <v>665</v>
      </c>
    </row>
    <row r="7" spans="1:8" ht="15" customHeight="1" x14ac:dyDescent="0.3">
      <c r="A7" s="4" t="s">
        <v>666</v>
      </c>
      <c r="B7" s="4" t="s">
        <v>667</v>
      </c>
      <c r="C7" s="4" t="s">
        <v>668</v>
      </c>
      <c r="D7" s="4">
        <v>3.75</v>
      </c>
      <c r="E7" s="4">
        <v>65</v>
      </c>
      <c r="F7" s="4">
        <v>1.1499999999999999</v>
      </c>
      <c r="G7" s="4">
        <v>1.05</v>
      </c>
      <c r="H7" s="4" t="s">
        <v>669</v>
      </c>
    </row>
    <row r="8" spans="1:8" ht="15" customHeight="1" x14ac:dyDescent="0.3">
      <c r="A8" s="4" t="s">
        <v>670</v>
      </c>
      <c r="B8" s="4" t="s">
        <v>671</v>
      </c>
      <c r="C8" s="4" t="s">
        <v>672</v>
      </c>
      <c r="D8" s="4">
        <v>3.67</v>
      </c>
      <c r="E8" s="4">
        <v>75</v>
      </c>
      <c r="F8" s="4">
        <v>1.2</v>
      </c>
      <c r="G8" s="4">
        <v>1.05</v>
      </c>
      <c r="H8" s="4" t="s">
        <v>673</v>
      </c>
    </row>
    <row r="9" spans="1:8" ht="15" customHeight="1" x14ac:dyDescent="0.3">
      <c r="A9" s="4" t="s">
        <v>674</v>
      </c>
      <c r="B9" s="4" t="s">
        <v>675</v>
      </c>
      <c r="C9" s="4" t="s">
        <v>676</v>
      </c>
      <c r="D9" s="4">
        <v>3.64</v>
      </c>
      <c r="E9" s="4">
        <v>78</v>
      </c>
      <c r="F9" s="4">
        <v>1.2</v>
      </c>
      <c r="G9" s="4">
        <v>1.05</v>
      </c>
      <c r="H9" s="4" t="s">
        <v>677</v>
      </c>
    </row>
    <row r="10" spans="1:8" ht="15" customHeight="1" x14ac:dyDescent="0.3">
      <c r="A10" s="4" t="s">
        <v>678</v>
      </c>
      <c r="B10" s="4" t="s">
        <v>679</v>
      </c>
      <c r="C10" s="4" t="s">
        <v>680</v>
      </c>
      <c r="D10" s="4">
        <v>0.31</v>
      </c>
      <c r="E10" s="4">
        <v>7.5</v>
      </c>
      <c r="F10" s="4">
        <v>1.18</v>
      </c>
      <c r="G10" s="4">
        <v>1.05</v>
      </c>
      <c r="H10" s="4" t="s">
        <v>681</v>
      </c>
    </row>
    <row r="11" spans="1:8" ht="15" customHeight="1" x14ac:dyDescent="0.3">
      <c r="A11" s="4" t="s">
        <v>682</v>
      </c>
      <c r="B11" s="4" t="s">
        <v>683</v>
      </c>
      <c r="C11" s="4" t="s">
        <v>684</v>
      </c>
      <c r="D11" s="4">
        <v>0.377</v>
      </c>
      <c r="E11" s="4">
        <v>8</v>
      </c>
      <c r="F11" s="4">
        <v>1.1200000000000001</v>
      </c>
      <c r="G11" s="4">
        <v>1.05</v>
      </c>
      <c r="H11" s="4" t="s">
        <v>685</v>
      </c>
    </row>
    <row r="12" spans="1:8" ht="15" customHeight="1" x14ac:dyDescent="0.3">
      <c r="A12" s="4" t="s">
        <v>686</v>
      </c>
      <c r="B12" s="4" t="s">
        <v>687</v>
      </c>
      <c r="C12" s="4" t="s">
        <v>688</v>
      </c>
      <c r="D12" s="4">
        <v>0.38500000000000001</v>
      </c>
      <c r="E12" s="4">
        <v>7.5</v>
      </c>
      <c r="F12" s="4">
        <v>1.1000000000000001</v>
      </c>
      <c r="G12" s="4">
        <v>1.05</v>
      </c>
      <c r="H12" s="4" t="s">
        <v>689</v>
      </c>
    </row>
    <row r="13" spans="1:8" ht="15" customHeight="1" x14ac:dyDescent="0.3">
      <c r="A13" s="4" t="s">
        <v>690</v>
      </c>
      <c r="B13" s="4" t="s">
        <v>691</v>
      </c>
      <c r="C13" s="4" t="s">
        <v>692</v>
      </c>
      <c r="D13" s="4">
        <v>0.70899999999999996</v>
      </c>
      <c r="E13" s="4">
        <v>6.5</v>
      </c>
      <c r="F13" s="4">
        <v>1</v>
      </c>
      <c r="G13" s="4">
        <v>1.1000000000000001</v>
      </c>
      <c r="H13" s="4" t="s">
        <v>693</v>
      </c>
    </row>
    <row r="14" spans="1:8" ht="15" customHeight="1" x14ac:dyDescent="0.3">
      <c r="A14" s="4" t="s">
        <v>694</v>
      </c>
      <c r="B14" s="4" t="s">
        <v>695</v>
      </c>
      <c r="C14" s="4" t="s">
        <v>696</v>
      </c>
      <c r="D14" s="4">
        <v>1</v>
      </c>
      <c r="E14" s="4">
        <v>9</v>
      </c>
      <c r="F14" s="4">
        <v>0.95</v>
      </c>
      <c r="G14" s="4">
        <v>1.1499999999999999</v>
      </c>
      <c r="H14" s="4" t="s">
        <v>697</v>
      </c>
    </row>
    <row r="15" spans="1:8" ht="15" customHeight="1" x14ac:dyDescent="0.3">
      <c r="A15" s="4" t="s">
        <v>698</v>
      </c>
      <c r="B15" s="4" t="s">
        <v>699</v>
      </c>
      <c r="C15" s="4" t="s">
        <v>700</v>
      </c>
      <c r="D15" s="4">
        <v>1310</v>
      </c>
      <c r="E15" s="4">
        <v>8500</v>
      </c>
      <c r="F15" s="4">
        <v>0.92</v>
      </c>
      <c r="G15" s="4">
        <v>1.2</v>
      </c>
      <c r="H15" s="4" t="s">
        <v>701</v>
      </c>
    </row>
    <row r="17" spans="1:1" ht="15" customHeight="1" x14ac:dyDescent="0.3">
      <c r="A17" s="28" t="s">
        <v>702</v>
      </c>
    </row>
    <row r="18" spans="1:1" ht="15" customHeight="1" x14ac:dyDescent="0.3">
      <c r="A18" s="12" t="s">
        <v>703</v>
      </c>
    </row>
    <row r="19" spans="1:1" ht="15" customHeight="1" x14ac:dyDescent="0.3">
      <c r="A19" s="12" t="s">
        <v>704</v>
      </c>
    </row>
    <row r="20" spans="1:1" ht="15" customHeight="1" x14ac:dyDescent="0.3">
      <c r="A20" s="12" t="s">
        <v>705</v>
      </c>
    </row>
    <row r="21" spans="1:1" ht="15" customHeight="1" x14ac:dyDescent="0.3">
      <c r="A21" s="12" t="s">
        <v>706</v>
      </c>
    </row>
    <row r="22" spans="1:1" ht="15" customHeight="1" x14ac:dyDescent="0.3">
      <c r="A22" s="12" t="s">
        <v>707</v>
      </c>
    </row>
    <row r="23" spans="1:1" ht="15" customHeight="1" x14ac:dyDescent="0.3">
      <c r="A23" s="12" t="s">
        <v>708</v>
      </c>
    </row>
    <row r="24" spans="1:1" ht="15" customHeight="1" x14ac:dyDescent="0.3">
      <c r="A24" s="12" t="s">
        <v>709</v>
      </c>
    </row>
    <row r="25" spans="1:1" ht="15" customHeight="1" x14ac:dyDescent="0.3">
      <c r="A25" s="12" t="s">
        <v>710</v>
      </c>
    </row>
    <row r="26" spans="1:1" ht="15" customHeight="1" x14ac:dyDescent="0.3">
      <c r="A26" s="12" t="s">
        <v>711</v>
      </c>
    </row>
    <row r="27" spans="1:1" ht="15" customHeight="1" x14ac:dyDescent="0.3">
      <c r="A27" s="12" t="s">
        <v>712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tabSelected="1" zoomScaleNormal="100" workbookViewId="0">
      <selection sqref="A1:XFD1048576"/>
    </sheetView>
  </sheetViews>
  <sheetFormatPr baseColWidth="10" defaultColWidth="8.6640625" defaultRowHeight="14.4" x14ac:dyDescent="0.3"/>
  <cols>
    <col min="1" max="1" width="20" style="3" customWidth="1"/>
    <col min="2" max="2" width="18" style="3" customWidth="1"/>
    <col min="3" max="3" width="70" style="3" customWidth="1"/>
    <col min="4" max="16384" width="8.6640625" style="3"/>
  </cols>
  <sheetData>
    <row r="1" spans="1:3" ht="15" customHeight="1" x14ac:dyDescent="0.3">
      <c r="A1" s="1" t="s">
        <v>63</v>
      </c>
      <c r="B1" s="1" t="s">
        <v>713</v>
      </c>
      <c r="C1" s="1" t="s">
        <v>590</v>
      </c>
    </row>
    <row r="2" spans="1:3" ht="15" customHeight="1" x14ac:dyDescent="0.3">
      <c r="A2" s="4" t="s">
        <v>71</v>
      </c>
      <c r="B2" s="4">
        <v>3</v>
      </c>
      <c r="C2" s="4" t="s">
        <v>714</v>
      </c>
    </row>
    <row r="3" spans="1:3" ht="15" customHeight="1" x14ac:dyDescent="0.3">
      <c r="A3" s="4" t="s">
        <v>154</v>
      </c>
      <c r="B3" s="4">
        <v>6</v>
      </c>
      <c r="C3" s="4" t="s">
        <v>715</v>
      </c>
    </row>
    <row r="5" spans="1:3" ht="15" customHeight="1" x14ac:dyDescent="0.3">
      <c r="A5" s="12" t="s">
        <v>716</v>
      </c>
      <c r="B5" s="12"/>
      <c r="C5" s="12" t="s">
        <v>717</v>
      </c>
    </row>
    <row r="6" spans="1:3" ht="15" customHeight="1" x14ac:dyDescent="0.3">
      <c r="A6" s="12"/>
      <c r="B6" s="12"/>
      <c r="C6" s="12" t="s">
        <v>718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7"/>
  <sheetViews>
    <sheetView tabSelected="1" zoomScaleNormal="100" workbookViewId="0">
      <selection sqref="A1:XFD1048576"/>
    </sheetView>
  </sheetViews>
  <sheetFormatPr baseColWidth="10" defaultColWidth="8.6640625" defaultRowHeight="14.4" x14ac:dyDescent="0.3"/>
  <cols>
    <col min="1" max="1" width="30" style="3" customWidth="1"/>
    <col min="2" max="2" width="26" style="3" customWidth="1"/>
    <col min="3" max="3" width="22" style="3" customWidth="1"/>
    <col min="4" max="4" width="26" style="3" customWidth="1"/>
    <col min="5" max="5" width="34" style="3" customWidth="1"/>
    <col min="6" max="16384" width="8.6640625" style="3"/>
  </cols>
  <sheetData>
    <row r="1" spans="1:5" ht="15" customHeight="1" x14ac:dyDescent="0.3">
      <c r="A1" s="1" t="s">
        <v>719</v>
      </c>
      <c r="B1" s="1" t="s">
        <v>720</v>
      </c>
      <c r="C1" s="1" t="s">
        <v>721</v>
      </c>
      <c r="D1" s="1" t="s">
        <v>722</v>
      </c>
      <c r="E1" s="1" t="s">
        <v>66</v>
      </c>
    </row>
    <row r="2" spans="1:5" ht="15" customHeight="1" x14ac:dyDescent="0.3">
      <c r="A2" s="4" t="s">
        <v>723</v>
      </c>
      <c r="B2" s="4" t="s">
        <v>724</v>
      </c>
      <c r="C2" s="4" t="s">
        <v>725</v>
      </c>
      <c r="D2" s="4">
        <v>230</v>
      </c>
      <c r="E2" s="4" t="s">
        <v>726</v>
      </c>
    </row>
    <row r="3" spans="1:5" ht="15" customHeight="1" x14ac:dyDescent="0.3">
      <c r="A3" s="4" t="s">
        <v>723</v>
      </c>
      <c r="B3" s="4" t="s">
        <v>727</v>
      </c>
      <c r="C3" s="4" t="s">
        <v>728</v>
      </c>
      <c r="D3" s="4">
        <v>310</v>
      </c>
      <c r="E3" s="4" t="s">
        <v>729</v>
      </c>
    </row>
    <row r="4" spans="1:5" ht="15" customHeight="1" x14ac:dyDescent="0.3">
      <c r="A4" s="4" t="s">
        <v>723</v>
      </c>
      <c r="B4" s="4" t="s">
        <v>727</v>
      </c>
      <c r="C4" s="4" t="s">
        <v>730</v>
      </c>
      <c r="D4" s="4">
        <v>420</v>
      </c>
      <c r="E4" s="4" t="s">
        <v>731</v>
      </c>
    </row>
    <row r="5" spans="1:5" ht="15" customHeight="1" x14ac:dyDescent="0.3">
      <c r="A5" s="4" t="s">
        <v>723</v>
      </c>
      <c r="B5" s="4" t="s">
        <v>732</v>
      </c>
      <c r="C5" s="4" t="s">
        <v>728</v>
      </c>
      <c r="D5" s="4">
        <v>480</v>
      </c>
      <c r="E5" s="4" t="s">
        <v>733</v>
      </c>
    </row>
    <row r="6" spans="1:5" ht="15" customHeight="1" x14ac:dyDescent="0.3">
      <c r="A6" s="4" t="s">
        <v>723</v>
      </c>
      <c r="B6" s="4" t="s">
        <v>732</v>
      </c>
      <c r="C6" s="4" t="s">
        <v>730</v>
      </c>
      <c r="D6" s="4">
        <v>650</v>
      </c>
      <c r="E6" s="4" t="s">
        <v>733</v>
      </c>
    </row>
    <row r="7" spans="1:5" ht="15" customHeight="1" x14ac:dyDescent="0.3">
      <c r="A7" s="4" t="s">
        <v>734</v>
      </c>
      <c r="B7" s="4" t="s">
        <v>735</v>
      </c>
      <c r="C7" s="4" t="s">
        <v>736</v>
      </c>
      <c r="D7" s="4">
        <v>1800</v>
      </c>
      <c r="E7" s="4" t="s">
        <v>737</v>
      </c>
    </row>
    <row r="8" spans="1:5" ht="15" customHeight="1" x14ac:dyDescent="0.3">
      <c r="A8" s="4" t="s">
        <v>738</v>
      </c>
      <c r="B8" s="4" t="s">
        <v>739</v>
      </c>
      <c r="C8" s="4" t="s">
        <v>740</v>
      </c>
      <c r="D8" s="4">
        <v>2300</v>
      </c>
      <c r="E8" s="4" t="s">
        <v>741</v>
      </c>
    </row>
    <row r="9" spans="1:5" ht="15" customHeight="1" x14ac:dyDescent="0.3">
      <c r="A9" s="4" t="s">
        <v>742</v>
      </c>
      <c r="B9" s="4" t="s">
        <v>743</v>
      </c>
      <c r="C9" s="4" t="s">
        <v>744</v>
      </c>
      <c r="D9" s="4">
        <v>800</v>
      </c>
      <c r="E9" s="4" t="s">
        <v>745</v>
      </c>
    </row>
    <row r="10" spans="1:5" ht="15" customHeight="1" x14ac:dyDescent="0.3">
      <c r="A10" s="4" t="s">
        <v>746</v>
      </c>
      <c r="B10" s="4" t="s">
        <v>593</v>
      </c>
      <c r="C10" s="4" t="s">
        <v>747</v>
      </c>
      <c r="D10" s="4">
        <v>180</v>
      </c>
      <c r="E10" s="4"/>
    </row>
    <row r="11" spans="1:5" ht="15" customHeight="1" x14ac:dyDescent="0.3">
      <c r="A11" s="4" t="s">
        <v>748</v>
      </c>
      <c r="B11" s="4" t="s">
        <v>593</v>
      </c>
      <c r="C11" s="4" t="s">
        <v>747</v>
      </c>
      <c r="D11" s="4">
        <v>230</v>
      </c>
      <c r="E11" s="4"/>
    </row>
    <row r="12" spans="1:5" ht="15" customHeight="1" x14ac:dyDescent="0.3">
      <c r="A12" s="4" t="s">
        <v>749</v>
      </c>
      <c r="B12" s="4" t="s">
        <v>750</v>
      </c>
      <c r="C12" s="4" t="s">
        <v>751</v>
      </c>
      <c r="D12" s="4">
        <v>700</v>
      </c>
      <c r="E12" s="4"/>
    </row>
    <row r="13" spans="1:5" ht="15" customHeight="1" x14ac:dyDescent="0.3">
      <c r="A13" s="4" t="s">
        <v>749</v>
      </c>
      <c r="B13" s="4" t="s">
        <v>752</v>
      </c>
      <c r="C13" s="4" t="s">
        <v>751</v>
      </c>
      <c r="D13" s="4">
        <v>1200</v>
      </c>
      <c r="E13" s="4"/>
    </row>
    <row r="14" spans="1:5" ht="15" customHeight="1" x14ac:dyDescent="0.3">
      <c r="A14" s="4" t="s">
        <v>753</v>
      </c>
      <c r="B14" s="4" t="s">
        <v>593</v>
      </c>
      <c r="C14" s="4" t="s">
        <v>754</v>
      </c>
      <c r="D14" s="4">
        <v>1350</v>
      </c>
      <c r="E14" s="4"/>
    </row>
    <row r="15" spans="1:5" ht="15" customHeight="1" x14ac:dyDescent="0.3">
      <c r="A15" s="4" t="s">
        <v>755</v>
      </c>
      <c r="B15" s="4" t="s">
        <v>739</v>
      </c>
      <c r="C15" s="4" t="s">
        <v>728</v>
      </c>
      <c r="D15" s="4">
        <v>800</v>
      </c>
      <c r="E15" s="4"/>
    </row>
    <row r="16" spans="1:5" ht="15" customHeight="1" x14ac:dyDescent="0.3">
      <c r="A16" s="4" t="s">
        <v>756</v>
      </c>
      <c r="B16" s="4" t="s">
        <v>739</v>
      </c>
      <c r="C16" s="4" t="s">
        <v>757</v>
      </c>
      <c r="D16" s="4">
        <v>3600</v>
      </c>
      <c r="E16" s="4"/>
    </row>
    <row r="17" spans="1:5" ht="15" customHeight="1" x14ac:dyDescent="0.3">
      <c r="A17" s="4" t="s">
        <v>758</v>
      </c>
      <c r="B17" s="4" t="s">
        <v>739</v>
      </c>
      <c r="C17" s="4" t="s">
        <v>759</v>
      </c>
      <c r="D17" s="4">
        <v>6500</v>
      </c>
      <c r="E17" s="4"/>
    </row>
    <row r="18" spans="1:5" ht="15" customHeight="1" x14ac:dyDescent="0.3">
      <c r="A18" s="4" t="s">
        <v>760</v>
      </c>
      <c r="B18" s="4" t="s">
        <v>761</v>
      </c>
      <c r="C18" s="4" t="s">
        <v>762</v>
      </c>
      <c r="D18" s="4">
        <v>1200</v>
      </c>
      <c r="E18" s="4"/>
    </row>
    <row r="19" spans="1:5" ht="15" customHeight="1" x14ac:dyDescent="0.3">
      <c r="A19" s="4" t="s">
        <v>763</v>
      </c>
      <c r="B19" s="4" t="s">
        <v>761</v>
      </c>
      <c r="C19" s="4" t="s">
        <v>764</v>
      </c>
      <c r="D19" s="4">
        <v>800</v>
      </c>
      <c r="E19" s="4"/>
    </row>
    <row r="20" spans="1:5" ht="15" customHeight="1" x14ac:dyDescent="0.3">
      <c r="A20" s="4" t="s">
        <v>765</v>
      </c>
      <c r="B20" s="4" t="s">
        <v>593</v>
      </c>
      <c r="C20" s="4" t="s">
        <v>766</v>
      </c>
      <c r="D20" s="4">
        <v>100</v>
      </c>
      <c r="E20" s="4"/>
    </row>
    <row r="21" spans="1:5" ht="15" customHeight="1" x14ac:dyDescent="0.3">
      <c r="A21" s="4" t="s">
        <v>765</v>
      </c>
      <c r="B21" s="4" t="s">
        <v>593</v>
      </c>
      <c r="C21" s="4" t="s">
        <v>767</v>
      </c>
      <c r="D21" s="4">
        <v>160</v>
      </c>
      <c r="E21" s="4"/>
    </row>
    <row r="22" spans="1:5" ht="15" customHeight="1" x14ac:dyDescent="0.3">
      <c r="A22" s="4" t="s">
        <v>768</v>
      </c>
      <c r="B22" s="4" t="s">
        <v>593</v>
      </c>
      <c r="C22" s="4" t="s">
        <v>769</v>
      </c>
      <c r="D22" s="4">
        <v>230</v>
      </c>
      <c r="E22" s="4"/>
    </row>
    <row r="23" spans="1:5" ht="15" customHeight="1" x14ac:dyDescent="0.3">
      <c r="A23" s="4" t="s">
        <v>770</v>
      </c>
      <c r="B23" s="4" t="s">
        <v>739</v>
      </c>
      <c r="C23" s="4" t="s">
        <v>771</v>
      </c>
      <c r="D23" s="4">
        <v>700</v>
      </c>
      <c r="E23" s="4"/>
    </row>
    <row r="24" spans="1:5" ht="15" customHeight="1" x14ac:dyDescent="0.3">
      <c r="A24" s="4" t="s">
        <v>772</v>
      </c>
      <c r="B24" s="4" t="s">
        <v>761</v>
      </c>
      <c r="C24" s="4" t="s">
        <v>773</v>
      </c>
      <c r="D24" s="4">
        <v>180</v>
      </c>
      <c r="E24" s="4"/>
    </row>
    <row r="25" spans="1:5" ht="15" customHeight="1" x14ac:dyDescent="0.3">
      <c r="A25" s="4" t="s">
        <v>774</v>
      </c>
      <c r="B25" s="4" t="s">
        <v>761</v>
      </c>
      <c r="C25" s="4" t="s">
        <v>775</v>
      </c>
      <c r="D25" s="4">
        <v>800</v>
      </c>
      <c r="E25" s="4"/>
    </row>
    <row r="26" spans="1:5" ht="15" customHeight="1" x14ac:dyDescent="0.3">
      <c r="A26" s="4" t="s">
        <v>776</v>
      </c>
      <c r="B26" s="4" t="s">
        <v>777</v>
      </c>
      <c r="C26" s="4" t="s">
        <v>778</v>
      </c>
      <c r="D26" s="4">
        <v>90</v>
      </c>
      <c r="E26" s="4" t="s">
        <v>779</v>
      </c>
    </row>
    <row r="27" spans="1:5" ht="15" customHeight="1" x14ac:dyDescent="0.3">
      <c r="A27" s="4" t="s">
        <v>780</v>
      </c>
      <c r="B27" s="4" t="s">
        <v>781</v>
      </c>
      <c r="C27" s="4" t="s">
        <v>778</v>
      </c>
      <c r="D27" s="4">
        <v>35</v>
      </c>
      <c r="E27" s="4"/>
    </row>
    <row r="28" spans="1:5" ht="15" customHeight="1" x14ac:dyDescent="0.3">
      <c r="A28" s="4" t="s">
        <v>782</v>
      </c>
      <c r="B28" s="4" t="s">
        <v>739</v>
      </c>
      <c r="C28" s="4" t="s">
        <v>773</v>
      </c>
      <c r="D28" s="4">
        <v>230</v>
      </c>
      <c r="E28" s="4"/>
    </row>
    <row r="29" spans="1:5" ht="15" customHeight="1" x14ac:dyDescent="0.3">
      <c r="A29" s="4" t="s">
        <v>783</v>
      </c>
      <c r="B29" s="4" t="s">
        <v>739</v>
      </c>
      <c r="C29" s="4" t="s">
        <v>773</v>
      </c>
      <c r="D29" s="4">
        <v>270</v>
      </c>
      <c r="E29" s="4"/>
    </row>
    <row r="30" spans="1:5" ht="15" customHeight="1" x14ac:dyDescent="0.3">
      <c r="A30" s="4" t="s">
        <v>784</v>
      </c>
      <c r="B30" s="4" t="s">
        <v>739</v>
      </c>
      <c r="C30" s="4" t="s">
        <v>785</v>
      </c>
      <c r="D30" s="4">
        <v>320</v>
      </c>
      <c r="E30" s="4"/>
    </row>
    <row r="31" spans="1:5" ht="15" customHeight="1" x14ac:dyDescent="0.3">
      <c r="A31" s="4" t="s">
        <v>786</v>
      </c>
      <c r="B31" s="4" t="s">
        <v>593</v>
      </c>
      <c r="C31" s="4" t="s">
        <v>787</v>
      </c>
      <c r="D31" s="4">
        <v>5000</v>
      </c>
      <c r="E31" s="4"/>
    </row>
    <row r="32" spans="1:5" ht="15" customHeight="1" x14ac:dyDescent="0.3">
      <c r="A32" s="4" t="s">
        <v>788</v>
      </c>
      <c r="B32" s="4" t="s">
        <v>789</v>
      </c>
      <c r="C32" s="4" t="s">
        <v>790</v>
      </c>
      <c r="D32" s="4">
        <v>10500</v>
      </c>
      <c r="E32" s="4"/>
    </row>
    <row r="33" spans="1:5" ht="15" customHeight="1" x14ac:dyDescent="0.3">
      <c r="A33" s="4" t="s">
        <v>791</v>
      </c>
      <c r="B33" s="4" t="s">
        <v>792</v>
      </c>
      <c r="C33" s="4" t="s">
        <v>773</v>
      </c>
      <c r="D33" s="4">
        <v>5500</v>
      </c>
      <c r="E33" s="4"/>
    </row>
    <row r="34" spans="1:5" ht="15" customHeight="1" x14ac:dyDescent="0.3">
      <c r="A34" s="4" t="s">
        <v>793</v>
      </c>
      <c r="B34" s="4" t="s">
        <v>739</v>
      </c>
      <c r="C34" s="4" t="s">
        <v>794</v>
      </c>
      <c r="D34" s="4">
        <v>1200</v>
      </c>
      <c r="E34" s="4"/>
    </row>
    <row r="35" spans="1:5" ht="15" customHeight="1" x14ac:dyDescent="0.3">
      <c r="A35" s="4" t="s">
        <v>795</v>
      </c>
      <c r="B35" s="4" t="s">
        <v>739</v>
      </c>
      <c r="C35" s="4" t="s">
        <v>773</v>
      </c>
      <c r="D35" s="4">
        <v>900</v>
      </c>
      <c r="E35" s="4"/>
    </row>
    <row r="37" spans="1:5" ht="15" customHeight="1" x14ac:dyDescent="0.3">
      <c r="A37" s="12" t="s">
        <v>796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3"/>
  <sheetViews>
    <sheetView tabSelected="1" topLeftCell="A4" zoomScaleNormal="100" workbookViewId="0">
      <selection sqref="A1:XFD1048576"/>
    </sheetView>
  </sheetViews>
  <sheetFormatPr baseColWidth="10" defaultColWidth="8.6640625" defaultRowHeight="14.4" x14ac:dyDescent="0.3"/>
  <cols>
    <col min="1" max="1" width="112.88671875" style="3" customWidth="1"/>
    <col min="2" max="2" width="19" style="3" customWidth="1"/>
    <col min="3" max="3" width="39" style="3" customWidth="1"/>
    <col min="4" max="4" width="16" style="3" customWidth="1"/>
    <col min="5" max="16384" width="8.6640625" style="3"/>
  </cols>
  <sheetData>
    <row r="1" spans="1:3" ht="15.75" customHeight="1" x14ac:dyDescent="0.3">
      <c r="A1" s="6" t="s">
        <v>797</v>
      </c>
    </row>
    <row r="3" spans="1:3" ht="15" customHeight="1" x14ac:dyDescent="0.3">
      <c r="A3" s="5" t="s">
        <v>798</v>
      </c>
    </row>
    <row r="4" spans="1:3" ht="15" customHeight="1" x14ac:dyDescent="0.3">
      <c r="A4" s="7" t="s">
        <v>799</v>
      </c>
    </row>
    <row r="5" spans="1:3" ht="15" customHeight="1" x14ac:dyDescent="0.3">
      <c r="A5" s="7" t="s">
        <v>800</v>
      </c>
    </row>
    <row r="6" spans="1:3" ht="15" customHeight="1" x14ac:dyDescent="0.3">
      <c r="A6" s="7" t="s">
        <v>7</v>
      </c>
    </row>
    <row r="8" spans="1:3" ht="15" customHeight="1" x14ac:dyDescent="0.3">
      <c r="A8" s="8" t="s">
        <v>801</v>
      </c>
    </row>
    <row r="9" spans="1:3" ht="15" customHeight="1" x14ac:dyDescent="0.3">
      <c r="A9" s="4" t="s">
        <v>802</v>
      </c>
      <c r="C9" s="9" t="s">
        <v>82</v>
      </c>
    </row>
    <row r="10" spans="1:3" ht="15" customHeight="1" x14ac:dyDescent="0.3">
      <c r="A10" s="4" t="s">
        <v>803</v>
      </c>
      <c r="C10" s="9" t="s">
        <v>646</v>
      </c>
    </row>
    <row r="11" spans="1:3" ht="15" customHeight="1" x14ac:dyDescent="0.3">
      <c r="A11" s="4" t="s">
        <v>804</v>
      </c>
      <c r="C11" s="9" t="s">
        <v>599</v>
      </c>
    </row>
    <row r="12" spans="1:3" ht="15" customHeight="1" x14ac:dyDescent="0.3">
      <c r="A12" s="4" t="s">
        <v>805</v>
      </c>
      <c r="C12" s="9" t="s">
        <v>612</v>
      </c>
    </row>
    <row r="13" spans="1:3" ht="15" customHeight="1" x14ac:dyDescent="0.3">
      <c r="A13" s="4" t="s">
        <v>806</v>
      </c>
      <c r="C13" s="9" t="s">
        <v>623</v>
      </c>
    </row>
    <row r="14" spans="1:3" ht="15" customHeight="1" x14ac:dyDescent="0.3">
      <c r="A14" s="4" t="s">
        <v>807</v>
      </c>
      <c r="C14" s="9" t="s">
        <v>808</v>
      </c>
    </row>
    <row r="15" spans="1:3" ht="15" customHeight="1" x14ac:dyDescent="0.3">
      <c r="A15" s="4" t="s">
        <v>809</v>
      </c>
      <c r="C15" s="9" t="s">
        <v>723</v>
      </c>
    </row>
    <row r="17" spans="1:3" ht="15" customHeight="1" x14ac:dyDescent="0.3">
      <c r="A17" s="8" t="s">
        <v>810</v>
      </c>
    </row>
    <row r="18" spans="1:3" ht="15" customHeight="1" x14ac:dyDescent="0.3">
      <c r="A18" s="4" t="s">
        <v>62</v>
      </c>
      <c r="C18" s="4" t="str">
        <f>IFERROR(VLOOKUP($C$9,Types_Pannes_Installations!A:H,4,FALSE()),"Code introuvable")</f>
        <v>Remplacement compresseur climatiseur split</v>
      </c>
    </row>
    <row r="19" spans="1:3" ht="15" customHeight="1" x14ac:dyDescent="0.3">
      <c r="A19" s="4" t="s">
        <v>63</v>
      </c>
      <c r="C19" s="4" t="str">
        <f>IFERROR(VLOOKUP($C$9,Types_Pannes_Installations!A:H,5,FALSE()),"")</f>
        <v>Reparation</v>
      </c>
    </row>
    <row r="20" spans="1:3" ht="15" customHeight="1" x14ac:dyDescent="0.3">
      <c r="A20" s="4" t="s">
        <v>64</v>
      </c>
      <c r="C20" s="4">
        <f>IFERROR(VLOOKUP($C$9,Types_Pannes_Installations!A:H,6,FALSE()),0)</f>
        <v>100</v>
      </c>
    </row>
    <row r="21" spans="1:3" ht="15" customHeight="1" x14ac:dyDescent="0.3">
      <c r="A21" s="4" t="s">
        <v>65</v>
      </c>
      <c r="C21" s="4">
        <f>IFERROR(VLOOKUP($C$9,Types_Pannes_Installations!A:H,7,FALSE()),0)</f>
        <v>4</v>
      </c>
    </row>
    <row r="22" spans="1:3" ht="15" customHeight="1" x14ac:dyDescent="0.3">
      <c r="A22" s="4" t="s">
        <v>592</v>
      </c>
      <c r="C22" s="4">
        <f>IFERROR(VLOOKUP($C$11,Multiplicateurs_Urgence!A:D,4,FALSE()),1)</f>
        <v>1.2</v>
      </c>
    </row>
    <row r="23" spans="1:3" ht="15" customHeight="1" x14ac:dyDescent="0.3">
      <c r="A23" s="4" t="s">
        <v>609</v>
      </c>
      <c r="C23" s="4">
        <f>IFERROR(VLOOKUP($C$12,Multiplicateurs_Complexite!A:C,3,FALSE()),1)</f>
        <v>1.1000000000000001</v>
      </c>
    </row>
    <row r="24" spans="1:3" ht="15" customHeight="1" x14ac:dyDescent="0.3">
      <c r="A24" s="4" t="s">
        <v>622</v>
      </c>
      <c r="C24" s="4">
        <f>IFERROR(VLOOKUP($C$13,Multiplicateurs_Saisonnier!A:D,4,FALSE()),1)</f>
        <v>1.1499999999999999</v>
      </c>
    </row>
    <row r="25" spans="1:3" ht="15" customHeight="1" x14ac:dyDescent="0.3">
      <c r="A25" s="4" t="s">
        <v>811</v>
      </c>
      <c r="C25" s="4" t="str">
        <f>IFERROR(VLOOKUP($C$10,Donnees_Regionales_MENA!A:H,2,FALSE()),"")</f>
        <v>Dinar tunisien</v>
      </c>
    </row>
    <row r="26" spans="1:3" ht="15" customHeight="1" x14ac:dyDescent="0.3">
      <c r="A26" s="4" t="s">
        <v>812</v>
      </c>
      <c r="C26" s="4">
        <f>IFERROR(VLOOKUP($C$10,Donnees_Regionales_MENA!A:H,4,FALSE()),1)</f>
        <v>3.1</v>
      </c>
    </row>
    <row r="27" spans="1:3" ht="15" customHeight="1" x14ac:dyDescent="0.3">
      <c r="A27" s="4" t="s">
        <v>813</v>
      </c>
      <c r="C27" s="4">
        <f>IFERROR(VLOOKUP($C$10,Donnees_Regionales_MENA!A:H,5,FALSE()),0)</f>
        <v>35</v>
      </c>
    </row>
    <row r="28" spans="1:3" ht="15" customHeight="1" x14ac:dyDescent="0.3">
      <c r="A28" s="4" t="s">
        <v>643</v>
      </c>
      <c r="C28" s="4">
        <f>IFERROR(VLOOKUP($C$10,Donnees_Regionales_MENA!A:H,6,FALSE()),1)</f>
        <v>1</v>
      </c>
    </row>
    <row r="29" spans="1:3" ht="15" customHeight="1" x14ac:dyDescent="0.3">
      <c r="A29" s="4" t="s">
        <v>644</v>
      </c>
      <c r="C29" s="4">
        <f>IFERROR(VLOOKUP($C$10,Donnees_Regionales_MENA!A:H,7,FALSE()),1)</f>
        <v>1.1000000000000001</v>
      </c>
    </row>
    <row r="30" spans="1:3" ht="15" customHeight="1" x14ac:dyDescent="0.3">
      <c r="A30" s="4" t="s">
        <v>713</v>
      </c>
      <c r="C30" s="4">
        <f>IFERROR(VLOOKUP($C$19,Marge_Fixe!A:C,2,FALSE()),0)</f>
        <v>3</v>
      </c>
    </row>
    <row r="31" spans="1:3" ht="15" customHeight="1" x14ac:dyDescent="0.3">
      <c r="A31" s="4" t="s">
        <v>814</v>
      </c>
      <c r="C31" s="4">
        <f>IF($C$14="OUI",IFERROR(AVERAGEIF(Cout_Appareil!A:D,$C$15,Cout_Appareil!D:D),0),0)</f>
        <v>0</v>
      </c>
    </row>
    <row r="32" spans="1:3" ht="15" customHeight="1" x14ac:dyDescent="0.3">
      <c r="A32" s="8" t="s">
        <v>815</v>
      </c>
    </row>
    <row r="33" spans="1:4" ht="15" customHeight="1" x14ac:dyDescent="0.3">
      <c r="A33" s="4" t="s">
        <v>816</v>
      </c>
      <c r="C33" s="3">
        <f>$C$20*$C$26</f>
        <v>310</v>
      </c>
    </row>
    <row r="34" spans="1:4" ht="15" customHeight="1" x14ac:dyDescent="0.3">
      <c r="A34" s="4" t="s">
        <v>817</v>
      </c>
    </row>
    <row r="35" spans="1:4" ht="15" customHeight="1" x14ac:dyDescent="0.3">
      <c r="A35" s="4" t="s">
        <v>818</v>
      </c>
      <c r="C35" s="3">
        <f>$C$21*$C$27*$C$28*$C$22*$C$23*$C$24</f>
        <v>212.52</v>
      </c>
    </row>
    <row r="36" spans="1:4" ht="15" customHeight="1" x14ac:dyDescent="0.3">
      <c r="A36" s="4" t="s">
        <v>819</v>
      </c>
      <c r="C36" s="3">
        <f>$C$30*$C$26</f>
        <v>9.3000000000000007</v>
      </c>
    </row>
    <row r="37" spans="1:4" ht="15" customHeight="1" x14ac:dyDescent="0.3">
      <c r="A37" s="4" t="s">
        <v>820</v>
      </c>
      <c r="C37" s="3">
        <f>$C$31*$C$29*$C$26</f>
        <v>0</v>
      </c>
    </row>
    <row r="39" spans="1:4" ht="15" customHeight="1" x14ac:dyDescent="0.3">
      <c r="A39" s="10" t="s">
        <v>821</v>
      </c>
      <c r="C39" s="11">
        <f>$C$33+$C$35+$C$36+$C$37</f>
        <v>531.81999999999994</v>
      </c>
      <c r="D39" s="8" t="str">
        <f>$C$25</f>
        <v>Dinar tunisien</v>
      </c>
    </row>
    <row r="40" spans="1:4" ht="15" customHeight="1" x14ac:dyDescent="0.3">
      <c r="A40" s="12" t="s">
        <v>822</v>
      </c>
      <c r="C40" s="12">
        <f>$C$39/$C$26</f>
        <v>171.5548387096774</v>
      </c>
    </row>
    <row r="42" spans="1:4" ht="15" customHeight="1" x14ac:dyDescent="0.3">
      <c r="A42" s="12" t="s">
        <v>823</v>
      </c>
    </row>
    <row r="43" spans="1:4" ht="15" customHeight="1" x14ac:dyDescent="0.3">
      <c r="A43" s="12" t="s">
        <v>824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10"/>
  <sheetViews>
    <sheetView tabSelected="1" zoomScale="87" zoomScaleNormal="100" workbookViewId="0">
      <selection sqref="A1:XFD1048576"/>
    </sheetView>
  </sheetViews>
  <sheetFormatPr baseColWidth="10" defaultColWidth="8.6640625" defaultRowHeight="14.4" x14ac:dyDescent="0.3"/>
  <cols>
    <col min="1" max="2" width="14" style="3" customWidth="1"/>
    <col min="3" max="3" width="38.21875" style="3" bestFit="1" customWidth="1"/>
    <col min="4" max="4" width="11.77734375" style="3" customWidth="1"/>
    <col min="5" max="5" width="14" style="3" customWidth="1"/>
    <col min="6" max="6" width="22.77734375" style="3" customWidth="1"/>
    <col min="7" max="21" width="14" style="3" customWidth="1"/>
    <col min="22" max="22" width="46.88671875" style="3" customWidth="1"/>
    <col min="23" max="23" width="35.88671875" style="3" customWidth="1"/>
    <col min="24" max="16384" width="8.6640625" style="3"/>
  </cols>
  <sheetData>
    <row r="1" spans="1:23" ht="15.75" customHeight="1" x14ac:dyDescent="0.3">
      <c r="A1" s="13" t="s">
        <v>825</v>
      </c>
    </row>
    <row r="2" spans="1:23" ht="15" customHeight="1" x14ac:dyDescent="0.3">
      <c r="A2" s="14" t="s">
        <v>826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23" ht="15" thickBot="1" x14ac:dyDescent="0.35"/>
    <row r="4" spans="1:23" ht="27.75" customHeight="1" x14ac:dyDescent="0.3">
      <c r="A4" s="15" t="s">
        <v>827</v>
      </c>
      <c r="B4" s="16" t="s">
        <v>828</v>
      </c>
      <c r="C4" s="16" t="s">
        <v>829</v>
      </c>
      <c r="D4" s="16" t="s">
        <v>830</v>
      </c>
      <c r="E4" s="16" t="s">
        <v>831</v>
      </c>
      <c r="F4" s="16" t="s">
        <v>832</v>
      </c>
      <c r="G4" s="16" t="s">
        <v>833</v>
      </c>
      <c r="H4" s="16" t="s">
        <v>834</v>
      </c>
      <c r="I4" s="16" t="s">
        <v>835</v>
      </c>
      <c r="J4" s="16" t="s">
        <v>813</v>
      </c>
      <c r="K4" s="16" t="s">
        <v>836</v>
      </c>
      <c r="L4" s="16" t="s">
        <v>837</v>
      </c>
      <c r="M4" s="16" t="s">
        <v>838</v>
      </c>
      <c r="N4" s="16" t="s">
        <v>839</v>
      </c>
      <c r="O4" s="16" t="s">
        <v>713</v>
      </c>
      <c r="P4" s="16" t="s">
        <v>840</v>
      </c>
      <c r="Q4" s="16" t="s">
        <v>841</v>
      </c>
      <c r="R4" s="16" t="s">
        <v>842</v>
      </c>
      <c r="S4" s="16" t="s">
        <v>843</v>
      </c>
      <c r="T4" s="16" t="s">
        <v>639</v>
      </c>
      <c r="U4" s="16" t="s">
        <v>844</v>
      </c>
      <c r="V4" s="16" t="s">
        <v>845</v>
      </c>
      <c r="W4" s="17" t="s">
        <v>846</v>
      </c>
    </row>
    <row r="5" spans="1:23" ht="15" customHeight="1" x14ac:dyDescent="0.3">
      <c r="A5" s="18" t="s">
        <v>646</v>
      </c>
      <c r="B5" s="19" t="s">
        <v>82</v>
      </c>
      <c r="C5" s="20" t="str">
        <f>IFERROR(VLOOKUP($B5,Types_Pannes_Installations!A:H,4,FALSE()),"?")</f>
        <v>Remplacement compresseur climatiseur split</v>
      </c>
      <c r="D5" s="19" t="s">
        <v>593</v>
      </c>
      <c r="E5" s="19" t="s">
        <v>610</v>
      </c>
      <c r="F5" s="19" t="s">
        <v>629</v>
      </c>
      <c r="G5" s="20">
        <f>IFERROR(VLOOKUP($B5,Types_Pannes_Installations!A:H,6,FALSE()),0)</f>
        <v>100</v>
      </c>
      <c r="H5" s="20">
        <f>IFERROR(VLOOKUP($B5,Types_Pannes_Installations!A:H,7,FALSE()),0)</f>
        <v>4</v>
      </c>
      <c r="I5" s="20">
        <f>IFERROR(VLOOKUP($A5,Donnees_Regionales_MENA!A:H,4,FALSE()),1)</f>
        <v>3.1</v>
      </c>
      <c r="J5" s="20">
        <f>IFERROR(VLOOKUP($A5,Donnees_Regionales_MENA!A:H,5,FALSE()),0)</f>
        <v>35</v>
      </c>
      <c r="K5" s="20">
        <f>IFERROR(VLOOKUP($A5,Donnees_Regionales_MENA!A:H,6,FALSE()),1)</f>
        <v>1</v>
      </c>
      <c r="L5" s="20">
        <f>IFERROR(VLOOKUP($D5,Multiplicateurs_Urgence!A:D,4,FALSE()),1)</f>
        <v>1</v>
      </c>
      <c r="M5" s="20">
        <f>IFERROR(VLOOKUP($E5,Multiplicateurs_Complexite!A:C,3,FALSE()),1)</f>
        <v>1</v>
      </c>
      <c r="N5" s="20">
        <f>IFERROR(VLOOKUP($F5,Multiplicateurs_Saisonnier!A:D,4,FALSE()),1)</f>
        <v>1</v>
      </c>
      <c r="O5" s="20">
        <f>IFERROR(VLOOKUP(VLOOKUP($B5,Types_Pannes_Installations!A:H,5,FALSE()),Marge_Fixe!A:C,2,FALSE()),0)</f>
        <v>3</v>
      </c>
      <c r="P5" s="20">
        <f>$G5*$I5</f>
        <v>310</v>
      </c>
      <c r="Q5" s="20">
        <f>$H5*$J5*$K5*$L5*$M5*$N5</f>
        <v>140</v>
      </c>
      <c r="R5" s="20">
        <f>$O5*$I5</f>
        <v>9.3000000000000007</v>
      </c>
      <c r="S5" s="20">
        <f>$P5+$Q5+$R5</f>
        <v>459.3</v>
      </c>
      <c r="T5" s="20" t="str">
        <f>IFERROR(VLOOKUP($A5,Donnees_Regionales_MENA!A:H,2,FALSE()),"")</f>
        <v>Dinar tunisien</v>
      </c>
      <c r="U5" s="20">
        <f>$S5/$I5</f>
        <v>148.16129032258064</v>
      </c>
      <c r="V5" s="20" t="s">
        <v>847</v>
      </c>
      <c r="W5" s="21" t="s">
        <v>848</v>
      </c>
    </row>
    <row r="6" spans="1:23" ht="15" customHeight="1" x14ac:dyDescent="0.3">
      <c r="A6" s="18" t="s">
        <v>646</v>
      </c>
      <c r="B6" s="19" t="s">
        <v>82</v>
      </c>
      <c r="C6" s="20" t="str">
        <f>IFERROR(VLOOKUP($B6,Types_Pannes_Installations!A:H,4,FALSE()),"?")</f>
        <v>Remplacement compresseur climatiseur split</v>
      </c>
      <c r="D6" s="19" t="s">
        <v>599</v>
      </c>
      <c r="E6" s="19" t="s">
        <v>612</v>
      </c>
      <c r="F6" s="19" t="s">
        <v>623</v>
      </c>
      <c r="G6" s="20">
        <f>IFERROR(VLOOKUP($B6,Types_Pannes_Installations!A:H,6,FALSE()),0)</f>
        <v>100</v>
      </c>
      <c r="H6" s="20">
        <f>IFERROR(VLOOKUP($B6,Types_Pannes_Installations!A:H,7,FALSE()),0)</f>
        <v>4</v>
      </c>
      <c r="I6" s="20">
        <f>IFERROR(VLOOKUP($A6,Donnees_Regionales_MENA!A:H,4,FALSE()),1)</f>
        <v>3.1</v>
      </c>
      <c r="J6" s="20">
        <f>IFERROR(VLOOKUP($A6,Donnees_Regionales_MENA!A:H,5,FALSE()),0)</f>
        <v>35</v>
      </c>
      <c r="K6" s="20">
        <f>IFERROR(VLOOKUP($A6,Donnees_Regionales_MENA!A:H,6,FALSE()),1)</f>
        <v>1</v>
      </c>
      <c r="L6" s="20">
        <f>IFERROR(VLOOKUP($D6,Multiplicateurs_Urgence!A:D,4,FALSE()),1)</f>
        <v>1.2</v>
      </c>
      <c r="M6" s="20">
        <f>IFERROR(VLOOKUP($E6,Multiplicateurs_Complexite!A:C,3,FALSE()),1)</f>
        <v>1.1000000000000001</v>
      </c>
      <c r="N6" s="20">
        <f>IFERROR(VLOOKUP($F6,Multiplicateurs_Saisonnier!A:D,4,FALSE()),1)</f>
        <v>1.1499999999999999</v>
      </c>
      <c r="O6" s="20">
        <f>IFERROR(VLOOKUP(VLOOKUP($B6,Types_Pannes_Installations!A:H,5,FALSE()),Marge_Fixe!A:C,2,FALSE()),0)</f>
        <v>3</v>
      </c>
      <c r="P6" s="20">
        <f>$G6*$I6</f>
        <v>310</v>
      </c>
      <c r="Q6" s="20">
        <f>$H6*$J6*$K6*$L6*$M6*$N6</f>
        <v>212.52</v>
      </c>
      <c r="R6" s="20">
        <f>$O6*$I6</f>
        <v>9.3000000000000007</v>
      </c>
      <c r="S6" s="20">
        <f>$P6+$Q6+$R6</f>
        <v>531.81999999999994</v>
      </c>
      <c r="T6" s="20" t="str">
        <f>IFERROR(VLOOKUP($A6,Donnees_Regionales_MENA!A:H,2,FALSE()),"")</f>
        <v>Dinar tunisien</v>
      </c>
      <c r="U6" s="20">
        <f>$S6/$I6</f>
        <v>171.5548387096774</v>
      </c>
      <c r="V6" s="20" t="s">
        <v>849</v>
      </c>
      <c r="W6" s="21" t="s">
        <v>850</v>
      </c>
    </row>
    <row r="7" spans="1:23" ht="15" customHeight="1" x14ac:dyDescent="0.3">
      <c r="A7" s="18" t="s">
        <v>650</v>
      </c>
      <c r="B7" s="19" t="s">
        <v>156</v>
      </c>
      <c r="C7" s="20" t="str">
        <f>IFERROR(VLOOKUP($B7,Types_Pannes_Installations!A:H,4,FALSE()),"?")</f>
        <v>Installation climatiseur split mural 12000 BTU</v>
      </c>
      <c r="D7" s="19" t="s">
        <v>593</v>
      </c>
      <c r="E7" s="19" t="s">
        <v>610</v>
      </c>
      <c r="F7" s="19" t="s">
        <v>629</v>
      </c>
      <c r="G7" s="20">
        <f>IFERROR(VLOOKUP($B7,Types_Pannes_Installations!A:H,6,FALSE()),0)</f>
        <v>14</v>
      </c>
      <c r="H7" s="20">
        <f>IFERROR(VLOOKUP($B7,Types_Pannes_Installations!A:H,7,FALSE()),0)</f>
        <v>2.4900000000000002</v>
      </c>
      <c r="I7" s="20">
        <f>IFERROR(VLOOKUP($A7,Donnees_Regionales_MENA!A:H,4,FALSE()),1)</f>
        <v>9.9499999999999993</v>
      </c>
      <c r="J7" s="20">
        <f>IFERROR(VLOOKUP($A7,Donnees_Regionales_MENA!A:H,5,FALSE()),0)</f>
        <v>110</v>
      </c>
      <c r="K7" s="20">
        <f>IFERROR(VLOOKUP($A7,Donnees_Regionales_MENA!A:H,6,FALSE()),1)</f>
        <v>1.05</v>
      </c>
      <c r="L7" s="20">
        <f>IFERROR(VLOOKUP($D7,Multiplicateurs_Urgence!A:D,4,FALSE()),1)</f>
        <v>1</v>
      </c>
      <c r="M7" s="20">
        <f>IFERROR(VLOOKUP($E7,Multiplicateurs_Complexite!A:C,3,FALSE()),1)</f>
        <v>1</v>
      </c>
      <c r="N7" s="20">
        <f>IFERROR(VLOOKUP($F7,Multiplicateurs_Saisonnier!A:D,4,FALSE()),1)</f>
        <v>1</v>
      </c>
      <c r="O7" s="20">
        <f>IFERROR(VLOOKUP(VLOOKUP($B7,Types_Pannes_Installations!A:H,5,FALSE()),Marge_Fixe!A:C,2,FALSE()),0)</f>
        <v>6</v>
      </c>
      <c r="P7" s="20">
        <f>$G7*$I7</f>
        <v>139.29999999999998</v>
      </c>
      <c r="Q7" s="20">
        <f>$H7*$J7*$K7*$L7*$M7*$N7</f>
        <v>287.59500000000003</v>
      </c>
      <c r="R7" s="20">
        <f>$O7*$I7</f>
        <v>59.699999999999996</v>
      </c>
      <c r="S7" s="20">
        <f>$P7+$Q7+$R7</f>
        <v>486.59499999999997</v>
      </c>
      <c r="T7" s="20" t="str">
        <f>IFERROR(VLOOKUP($A7,Donnees_Regionales_MENA!A:H,2,FALSE()),"")</f>
        <v>Dirham marocain</v>
      </c>
      <c r="U7" s="20">
        <f>$S7/$I7</f>
        <v>48.904020100502514</v>
      </c>
      <c r="V7" s="20" t="s">
        <v>851</v>
      </c>
      <c r="W7" s="21" t="s">
        <v>852</v>
      </c>
    </row>
    <row r="8" spans="1:23" ht="15" customHeight="1" x14ac:dyDescent="0.3">
      <c r="A8" s="18" t="s">
        <v>650</v>
      </c>
      <c r="B8" s="19" t="s">
        <v>408</v>
      </c>
      <c r="C8" s="20" t="str">
        <f>IFERROR(VLOOKUP($B8,Types_Pannes_Installations!A:H,4,FALSE()),"?")</f>
        <v>Entretien annuel chaudière gaz (obligatoire)</v>
      </c>
      <c r="D8" s="19" t="s">
        <v>593</v>
      </c>
      <c r="E8" s="19" t="s">
        <v>610</v>
      </c>
      <c r="F8" s="19" t="s">
        <v>629</v>
      </c>
      <c r="G8" s="20">
        <f>IFERROR(VLOOKUP($B8,Types_Pannes_Installations!A:H,6,FALSE()),0)</f>
        <v>32</v>
      </c>
      <c r="H8" s="20">
        <f>IFERROR(VLOOKUP($B8,Types_Pannes_Installations!A:H,7,FALSE()),0)</f>
        <v>1.2</v>
      </c>
      <c r="I8" s="20">
        <f>IFERROR(VLOOKUP($A8,Donnees_Regionales_MENA!A:H,4,FALSE()),1)</f>
        <v>9.9499999999999993</v>
      </c>
      <c r="J8" s="20">
        <f>IFERROR(VLOOKUP($A8,Donnees_Regionales_MENA!A:H,5,FALSE()),0)</f>
        <v>110</v>
      </c>
      <c r="K8" s="20">
        <f>IFERROR(VLOOKUP($A8,Donnees_Regionales_MENA!A:H,6,FALSE()),1)</f>
        <v>1.05</v>
      </c>
      <c r="L8" s="20">
        <f>IFERROR(VLOOKUP($D8,Multiplicateurs_Urgence!A:D,4,FALSE()),1)</f>
        <v>1</v>
      </c>
      <c r="M8" s="20">
        <f>IFERROR(VLOOKUP($E8,Multiplicateurs_Complexite!A:C,3,FALSE()),1)</f>
        <v>1</v>
      </c>
      <c r="N8" s="20">
        <f>IFERROR(VLOOKUP($F8,Multiplicateurs_Saisonnier!A:D,4,FALSE()),1)</f>
        <v>1</v>
      </c>
      <c r="O8" s="20">
        <f>IFERROR(VLOOKUP(VLOOKUP($B8,Types_Pannes_Installations!A:H,5,FALSE()),Marge_Fixe!A:C,2,FALSE()),0)</f>
        <v>3</v>
      </c>
      <c r="P8" s="20">
        <f>$G8*$I8</f>
        <v>318.39999999999998</v>
      </c>
      <c r="Q8" s="20">
        <f>$H8*$J8*$K8*$L8*$M8*$N8</f>
        <v>138.6</v>
      </c>
      <c r="R8" s="20">
        <f>$O8*$I8</f>
        <v>29.849999999999998</v>
      </c>
      <c r="S8" s="20">
        <f>$P8+$Q8+$R8</f>
        <v>486.85</v>
      </c>
      <c r="T8" s="20" t="str">
        <f>IFERROR(VLOOKUP($A8,Donnees_Regionales_MENA!A:H,2,FALSE()),"")</f>
        <v>Dirham marocain</v>
      </c>
      <c r="U8" s="20">
        <f>$S8/$I8</f>
        <v>48.929648241206039</v>
      </c>
      <c r="V8" s="20" t="s">
        <v>853</v>
      </c>
      <c r="W8" s="21" t="s">
        <v>854</v>
      </c>
    </row>
    <row r="9" spans="1:23" ht="15" thickBot="1" x14ac:dyDescent="0.35">
      <c r="A9" s="22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1"/>
    </row>
    <row r="10" spans="1:23" ht="15" thickBot="1" x14ac:dyDescent="0.35">
      <c r="A10" s="25" t="s">
        <v>855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7"/>
      <c r="U10" s="23"/>
      <c r="V10" s="23"/>
      <c r="W10" s="24"/>
    </row>
  </sheetData>
  <mergeCells count="2">
    <mergeCell ref="A2:N2"/>
    <mergeCell ref="A10:T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READ ME</vt:lpstr>
      <vt:lpstr>Types_Pannes_Installations</vt:lpstr>
      <vt:lpstr>Multiplicateurs_Urgence</vt:lpstr>
      <vt:lpstr>Multiplicateurs_Complexite</vt:lpstr>
      <vt:lpstr>Multiplicateurs_Saisonnier</vt:lpstr>
      <vt:lpstr>Donnees_Regionales_MENA</vt:lpstr>
      <vt:lpstr>Marge_Fixe</vt:lpstr>
      <vt:lpstr>Cout_Appareil</vt:lpstr>
      <vt:lpstr>Exemple_Calcul</vt:lpstr>
      <vt:lpstr>Verification_Exemples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maycem ben khemis</cp:lastModifiedBy>
  <cp:revision>0</cp:revision>
  <dcterms:created xsi:type="dcterms:W3CDTF">2026-06-30T11:18:56Z</dcterms:created>
  <dcterms:modified xsi:type="dcterms:W3CDTF">2026-07-01T12:58:35Z</dcterms:modified>
  <dc:language>en-US</dc:language>
</cp:coreProperties>
</file>